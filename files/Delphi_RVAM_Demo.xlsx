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C:\Users\Admin\Downloads\"/>
    </mc:Choice>
  </mc:AlternateContent>
  <xr:revisionPtr revIDLastSave="0" documentId="13_ncr:1_{AA7043A6-1548-474C-947F-CB3D3DC82A6C}" xr6:coauthVersionLast="47" xr6:coauthVersionMax="47" xr10:uidLastSave="{00000000-0000-0000-0000-000000000000}"/>
  <bookViews>
    <workbookView xWindow="-120" yWindow="-120" windowWidth="29040" windowHeight="15720" activeTab="2" xr2:uid="{00000000-000D-0000-FFFF-FFFF00000000}"/>
  </bookViews>
  <sheets>
    <sheet name="Preface" sheetId="5" r:id="rId1"/>
    <sheet name="Document Control " sheetId="8" r:id="rId2"/>
    <sheet name="Requirements" sheetId="1" r:id="rId3"/>
    <sheet name="Common Data" sheetId="3" r:id="rId4"/>
    <sheet name="Requirements Formulas" sheetId="20" state="hidden" r:id="rId5"/>
    <sheet name="EA-Fortescue_ReqsImport" sheetId="19" state="hidden" r:id="rId6"/>
    <sheet name="TableDetails" sheetId="2" state="hidden" r:id="rId7"/>
  </sheets>
  <externalReferences>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s>
  <definedNames>
    <definedName name="_____gl1" hidden="1">{#N/A,#N/A,FALSE,"Total_OC015";#N/A,#N/A,FALSE,"ADMIN";#N/A,#N/A,FALSE,"PROCES";#N/A,#N/A,FALSE,"mecan";#N/A,#N/A,FALSE,"civil";#N/A,#N/A,FALSE,"CAÑER";#N/A,#N/A,FALSE,"ELEC";#N/A,#N/A,FALSE,"INSTR"}</definedName>
    <definedName name="_____r" hidden="1">{"DETALLE_1996",#N/A,FALSE,"flujo";"DETALLE_1997",#N/A,FALSE,"flujo";"GASTOS_INCURRIDOS_1996",#N/A,FALSE,"flujo";"GASTOS_PROGRAMADOS_PARA_1997",#N/A,FALSE,"flujo";#N/A,#N/A,FALSE,"comparat";#N/A,#N/A,FALSE,"costos";#N/A,#N/A,FALSE,"proyctrol"}</definedName>
    <definedName name="_____wrn1" hidden="1">{#N/A,#N/A,TRUE,"Est. de Fact.";#N/A,#N/A,TRUE,"Capitulo 19";#N/A,#N/A,TRUE,"Proyecto P855"}</definedName>
    <definedName name="____FC" hidden="1">{"DETALLE_1996",#N/A,FALSE,"flujo";"DETALLE_1997",#N/A,FALSE,"flujo";"GASTOS_INCURRIDOS_1996",#N/A,FALSE,"flujo";"GASTOS_PROGRAMADOS_PARA_1997",#N/A,FALSE,"flujo";#N/A,#N/A,FALSE,"comparat";#N/A,#N/A,FALSE,"costos";#N/A,#N/A,FALSE,"proyctrol"}</definedName>
    <definedName name="____FHE7" hidden="1">{#N/A,#N/A,FALSE,"masez (10)";#N/A,#N/A,FALSE,"masez (7)";#N/A,#N/A,FALSE,"masez (6)";#N/A,#N/A,FALSE,"masez (5)";#N/A,#N/A,FALSE,"masez (4)";#N/A,#N/A,FALSE,"masez (3)";#N/A,#N/A,FALSE,"masez (2)";#N/A,#N/A,FALSE,"GME";#N/A,#N/A,FALSE,"masez"}</definedName>
    <definedName name="____gl1" hidden="1">{#N/A,#N/A,FALSE,"Total_OC015";#N/A,#N/A,FALSE,"ADMIN";#N/A,#N/A,FALSE,"PROCES";#N/A,#N/A,FALSE,"mecan";#N/A,#N/A,FALSE,"civil";#N/A,#N/A,FALSE,"CAÑER";#N/A,#N/A,FALSE,"ELEC";#N/A,#N/A,FALSE,"INSTR"}</definedName>
    <definedName name="____jy5" hidden="1">{#N/A,#N/A,FALSE,"masez (10)";#N/A,#N/A,FALSE,"masez (7)";#N/A,#N/A,FALSE,"masez (6)";#N/A,#N/A,FALSE,"masez (5)";#N/A,#N/A,FALSE,"masez (4)";#N/A,#N/A,FALSE,"masez (3)";#N/A,#N/A,FALSE,"masez (2)";#N/A,#N/A,FALSE,"GME";#N/A,#N/A,FALSE,"masez"}</definedName>
    <definedName name="____kk1"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____kk2" hidden="1">{"FlujoGastos",#N/A,FALSE,"Base";"FlujoGastos",#N/A,FALSE,"Buzón Tren";"FlujoGastos",#N/A,FALSE,"Buzón Camión";"FlujoGastos",#N/A,FALSE,"LHD Camión";"FlujoGastos",#N/A,FALSE,"Cámara Camión"}</definedName>
    <definedName name="____kk3"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____kk4" hidden="1">{"desarrollo",#N/A,FALSE,"Cámara Camión";"resumen",#N/A,FALSE,"Cámara Camión";"eqprod",#N/A,FALSE,"Cámara Camión"}</definedName>
    <definedName name="____lot1" hidden="1">{#N/A,#N/A,FALSE,"Total_OC015";#N/A,#N/A,FALSE,"ADMIN";#N/A,#N/A,FALSE,"PROCES";#N/A,#N/A,FALSE,"mecan";#N/A,#N/A,FALSE,"civil";#N/A,#N/A,FALSE,"CAÑER";#N/A,#N/A,FALSE,"ELEC";#N/A,#N/A,FALSE,"INSTR"}</definedName>
    <definedName name="____r" hidden="1">{"DETALLE_1996",#N/A,FALSE,"flujo";"DETALLE_1997",#N/A,FALSE,"flujo";"GASTOS_INCURRIDOS_1996",#N/A,FALSE,"flujo";"GASTOS_PROGRAMADOS_PARA_1997",#N/A,FALSE,"flujo";#N/A,#N/A,FALSE,"comparat";#N/A,#N/A,FALSE,"costos";#N/A,#N/A,FALSE,"proyctrol"}</definedName>
    <definedName name="____tyl2" hidden="1">{#N/A,#N/A,FALSE,"masez (10)";#N/A,#N/A,FALSE,"masez (7)";#N/A,#N/A,FALSE,"masez (6)";#N/A,#N/A,FALSE,"masez (5)";#N/A,#N/A,FALSE,"masez (4)";#N/A,#N/A,FALSE,"masez (3)";#N/A,#N/A,FALSE,"masez (2)";#N/A,#N/A,FALSE,"GME";#N/A,#N/A,FALSE,"masez"}</definedName>
    <definedName name="____wrn1" hidden="1">{#N/A,#N/A,TRUE,"Est. de Fact.";#N/A,#N/A,TRUE,"Capitulo 19";#N/A,#N/A,TRUE,"Proyecto P855"}</definedName>
    <definedName name="____wrn2" hidden="1">{#N/A,#N/A,TRUE,"Est. de Fact.";#N/A,#N/A,TRUE,"Capitulo 19";#N/A,#N/A,TRUE,"Proyecto P855"}</definedName>
    <definedName name="____wrn3" hidden="1">{#N/A,#N/A,FALSE,"Total_OC015";#N/A,#N/A,FALSE,"ADMIN";#N/A,#N/A,FALSE,"PROCES";#N/A,#N/A,FALSE,"mecan";#N/A,#N/A,FALSE,"civil";#N/A,#N/A,FALSE,"CAÑER";#N/A,#N/A,FALSE,"ELEC";#N/A,#N/A,FALSE,"INSTR"}</definedName>
    <definedName name="____wrn5" hidden="1">{#N/A,#N/A,FALSE,"minas";#N/A,#N/A,FALSE,"Total_OC015";#N/A,#N/A,FALSE,"ADMIN";#N/A,#N/A,FALSE,"PROCES";#N/A,#N/A,FALSE,"civil";#N/A,#N/A,FALSE,"CAÑER";#N/A,#N/A,FALSE,"ELEC";#N/A,#N/A,FALSE,"INSTR";#N/A,#N/A,FALSE,"PDS";#N/A,#N/A,FALSE,"mecan"}</definedName>
    <definedName name="____wrn6" hidden="1">{#N/A,#N/A,FALSE,"minas";#N/A,#N/A,FALSE,"Total_OC015";#N/A,#N/A,FALSE,"ADMIN";#N/A,#N/A,FALSE,"PROCES";#N/A,#N/A,FALSE,"civil";#N/A,#N/A,FALSE,"CAÑER";#N/A,#N/A,FALSE,"ELEC";#N/A,#N/A,FALSE,"INSTR";#N/A,#N/A,FALSE,"PDS";#N/A,#N/A,FALSE,"mecan"}</definedName>
    <definedName name="____zx2" hidden="1">{#N/A,#N/A,FALSE,"masez (10)";#N/A,#N/A,FALSE,"masez (7)";#N/A,#N/A,FALSE,"masez (6)";#N/A,#N/A,FALSE,"masez (5)";#N/A,#N/A,FALSE,"masez (4)";#N/A,#N/A,FALSE,"masez (3)";#N/A,#N/A,FALSE,"masez (2)";#N/A,#N/A,FALSE,"GME";#N/A,#N/A,FALSE,"masez"}</definedName>
    <definedName name="___cc1" hidden="1">{"DETALLE_1996",#N/A,FALSE,"flujo";"DETALLE_1997",#N/A,FALSE,"flujo";"GASTOS_INCURRIDOS_1996",#N/A,FALSE,"flujo";"GASTOS_PROGRAMADOS_PARA_1997",#N/A,FALSE,"flujo";#N/A,#N/A,FALSE,"comparat";#N/A,#N/A,FALSE,"costos";#N/A,#N/A,FALSE,"proyctrol"}</definedName>
    <definedName name="___FC" hidden="1">{"DETALLE_1996",#N/A,FALSE,"flujo";"DETALLE_1997",#N/A,FALSE,"flujo";"GASTOS_INCURRIDOS_1996",#N/A,FALSE,"flujo";"GASTOS_PROGRAMADOS_PARA_1997",#N/A,FALSE,"flujo";#N/A,#N/A,FALSE,"comparat";#N/A,#N/A,FALSE,"costos";#N/A,#N/A,FALSE,"proyctrol"}</definedName>
    <definedName name="___FHE7" hidden="1">{#N/A,#N/A,FALSE,"masez (10)";#N/A,#N/A,FALSE,"masez (7)";#N/A,#N/A,FALSE,"masez (6)";#N/A,#N/A,FALSE,"masez (5)";#N/A,#N/A,FALSE,"masez (4)";#N/A,#N/A,FALSE,"masez (3)";#N/A,#N/A,FALSE,"masez (2)";#N/A,#N/A,FALSE,"GME";#N/A,#N/A,FALSE,"masez"}</definedName>
    <definedName name="___gl1" hidden="1">{#N/A,#N/A,FALSE,"Total_OC015";#N/A,#N/A,FALSE,"ADMIN";#N/A,#N/A,FALSE,"PROCES";#N/A,#N/A,FALSE,"mecan";#N/A,#N/A,FALSE,"civil";#N/A,#N/A,FALSE,"CAÑER";#N/A,#N/A,FALSE,"ELEC";#N/A,#N/A,FALSE,"INSTR"}</definedName>
    <definedName name="___jy5" hidden="1">{#N/A,#N/A,FALSE,"masez (10)";#N/A,#N/A,FALSE,"masez (7)";#N/A,#N/A,FALSE,"masez (6)";#N/A,#N/A,FALSE,"masez (5)";#N/A,#N/A,FALSE,"masez (4)";#N/A,#N/A,FALSE,"masez (3)";#N/A,#N/A,FALSE,"masez (2)";#N/A,#N/A,FALSE,"GME";#N/A,#N/A,FALSE,"masez"}</definedName>
    <definedName name="___kk1"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___kk2" hidden="1">{"FlujoGastos",#N/A,FALSE,"Base";"FlujoGastos",#N/A,FALSE,"Buzón Tren";"FlujoGastos",#N/A,FALSE,"Buzón Camión";"FlujoGastos",#N/A,FALSE,"LHD Camión";"FlujoGastos",#N/A,FALSE,"Cámara Camión"}</definedName>
    <definedName name="___kk3"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___kk4" hidden="1">{"desarrollo",#N/A,FALSE,"Cámara Camión";"resumen",#N/A,FALSE,"Cámara Camión";"eqprod",#N/A,FALSE,"Cámara Camión"}</definedName>
    <definedName name="___tyl2" hidden="1">{#N/A,#N/A,FALSE,"masez (10)";#N/A,#N/A,FALSE,"masez (7)";#N/A,#N/A,FALSE,"masez (6)";#N/A,#N/A,FALSE,"masez (5)";#N/A,#N/A,FALSE,"masez (4)";#N/A,#N/A,FALSE,"masez (3)";#N/A,#N/A,FALSE,"masez (2)";#N/A,#N/A,FALSE,"GME";#N/A,#N/A,FALSE,"masez"}</definedName>
    <definedName name="___wrn1" hidden="1">{#N/A,#N/A,TRUE,"Est. de Fact.";#N/A,#N/A,TRUE,"Capitulo 19";#N/A,#N/A,TRUE,"Proyecto P855"}</definedName>
    <definedName name="___zx2" hidden="1">{#N/A,#N/A,FALSE,"masez (10)";#N/A,#N/A,FALSE,"masez (7)";#N/A,#N/A,FALSE,"masez (6)";#N/A,#N/A,FALSE,"masez (5)";#N/A,#N/A,FALSE,"masez (4)";#N/A,#N/A,FALSE,"masez (3)";#N/A,#N/A,FALSE,"masez (2)";#N/A,#N/A,FALSE,"GME";#N/A,#N/A,FALSE,"masez"}</definedName>
    <definedName name="__123Graph_A" hidden="1">#REF!</definedName>
    <definedName name="__123Graph_ACURRENT" hidden="1">#REF!</definedName>
    <definedName name="__123Graph_ADEN_DMC" hidden="1">#REF!</definedName>
    <definedName name="__123Graph_ADEN_SP" hidden="1">#REF!</definedName>
    <definedName name="__123Graph_ADMC_INC" hidden="1">#REF!</definedName>
    <definedName name="__123Graph_ADMC_YLD" hidden="1">#REF!</definedName>
    <definedName name="__123Graph_AFLOT_INC" hidden="1">#REF!</definedName>
    <definedName name="__123Graph_AFLOT_YLD" hidden="1">#REF!</definedName>
    <definedName name="__123Graph_AREJ" hidden="1">#REF!</definedName>
    <definedName name="__123Graph_ASP_INC" hidden="1">#REF!</definedName>
    <definedName name="__123Graph_ASP_YLD" hidden="1">#REF!</definedName>
    <definedName name="__123Graph_B" hidden="1">#REF!</definedName>
    <definedName name="__123Graph_BCURRENT" hidden="1">#REF!</definedName>
    <definedName name="__123Graph_C" hidden="1">#REF!</definedName>
    <definedName name="__123Graph_CCONT" hidden="1">#REF!</definedName>
    <definedName name="__123Graph_CCOST" hidden="1">#REF!</definedName>
    <definedName name="__123Graph_CCURRENT" hidden="1">#REF!</definedName>
    <definedName name="__123Graph_CGM" hidden="1">#REF!</definedName>
    <definedName name="__123Graph_CREV" hidden="1">#REF!</definedName>
    <definedName name="__123Graph_D" hidden="1">#REF!</definedName>
    <definedName name="__123Graph_DCURRENT" hidden="1">#REF!</definedName>
    <definedName name="__123Graph_E" hidden="1">#REF!</definedName>
    <definedName name="__123Graph_ECURRENT" hidden="1">#REF!</definedName>
    <definedName name="__123Graph_F" hidden="1">#REF!</definedName>
    <definedName name="__123Graph_FCURRENT" hidden="1">#REF!</definedName>
    <definedName name="__123Graph_LBL_B" hidden="1">#REF!</definedName>
    <definedName name="__123Graph_LBL_C" hidden="1">#REF!</definedName>
    <definedName name="__123Graph_LBL_CCONT" hidden="1">#REF!</definedName>
    <definedName name="__123Graph_LBL_CCOST" hidden="1">#REF!</definedName>
    <definedName name="__123Graph_LBL_CGM" hidden="1">#REF!</definedName>
    <definedName name="__123Graph_LBL_CREV" hidden="1">#REF!</definedName>
    <definedName name="__123Graph_X" hidden="1">#REF!</definedName>
    <definedName name="__123Graph_XCONT" hidden="1">#REF!</definedName>
    <definedName name="__123Graph_XCOST" hidden="1">#REF!</definedName>
    <definedName name="__123Graph_XDEN_DMC" hidden="1">#REF!</definedName>
    <definedName name="__123Graph_XDEN_SP" hidden="1">#REF!</definedName>
    <definedName name="__123Graph_XDMC_INC" hidden="1">#REF!</definedName>
    <definedName name="__123Graph_XDMC_YLD" hidden="1">#REF!</definedName>
    <definedName name="__123Graph_XFLOT_INC" hidden="1">#REF!</definedName>
    <definedName name="__123Graph_XFLOT_YLD" hidden="1">#REF!</definedName>
    <definedName name="__123Graph_XGM" hidden="1">#REF!</definedName>
    <definedName name="__123Graph_XREJ" hidden="1">#REF!</definedName>
    <definedName name="__123Graph_XREV" hidden="1">#REF!</definedName>
    <definedName name="__123Graph_XSP_INC" hidden="1">#REF!</definedName>
    <definedName name="__123Graph_XSP_YLD" hidden="1">#REF!</definedName>
    <definedName name="__av2" hidden="1">{#N/A,#N/A,FALSE,"subcontract"}</definedName>
    <definedName name="__cc1" hidden="1">{"DETALLE_1996",#N/A,FALSE,"flujo";"DETALLE_1997",#N/A,FALSE,"flujo";"GASTOS_INCURRIDOS_1996",#N/A,FALSE,"flujo";"GASTOS_PROGRAMADOS_PARA_1997",#N/A,FALSE,"flujo";#N/A,#N/A,FALSE,"comparat";#N/A,#N/A,FALSE,"costos";#N/A,#N/A,FALSE,"proyctrol"}</definedName>
    <definedName name="__FHE7" hidden="1">{#N/A,#N/A,FALSE,"masez (10)";#N/A,#N/A,FALSE,"masez (7)";#N/A,#N/A,FALSE,"masez (6)";#N/A,#N/A,FALSE,"masez (5)";#N/A,#N/A,FALSE,"masez (4)";#N/A,#N/A,FALSE,"masez (3)";#N/A,#N/A,FALSE,"masez (2)";#N/A,#N/A,FALSE,"GME";#N/A,#N/A,FALSE,"masez"}</definedName>
    <definedName name="__gl1" hidden="1">{#N/A,#N/A,FALSE,"Total_OC015";#N/A,#N/A,FALSE,"ADMIN";#N/A,#N/A,FALSE,"PROCES";#N/A,#N/A,FALSE,"mecan";#N/A,#N/A,FALSE,"civil";#N/A,#N/A,FALSE,"CAÑER";#N/A,#N/A,FALSE,"ELEC";#N/A,#N/A,FALSE,"INSTR"}</definedName>
    <definedName name="__jy5" hidden="1">{#N/A,#N/A,FALSE,"masez (10)";#N/A,#N/A,FALSE,"masez (7)";#N/A,#N/A,FALSE,"masez (6)";#N/A,#N/A,FALSE,"masez (5)";#N/A,#N/A,FALSE,"masez (4)";#N/A,#N/A,FALSE,"masez (3)";#N/A,#N/A,FALSE,"masez (2)";#N/A,#N/A,FALSE,"GME";#N/A,#N/A,FALSE,"masez"}</definedName>
    <definedName name="__kk1"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__kk2" hidden="1">{"FlujoGastos",#N/A,FALSE,"Base";"FlujoGastos",#N/A,FALSE,"Buzón Tren";"FlujoGastos",#N/A,FALSE,"Buzón Camión";"FlujoGastos",#N/A,FALSE,"LHD Camión";"FlujoGastos",#N/A,FALSE,"Cámara Camión"}</definedName>
    <definedName name="__kk3"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__kk4" hidden="1">{"desarrollo",#N/A,FALSE,"Cámara Camión";"resumen",#N/A,FALSE,"Cámara Camión";"eqprod",#N/A,FALSE,"Cámara Camión"}</definedName>
    <definedName name="__lot1" hidden="1">{#N/A,#N/A,FALSE,"Total_OC015";#N/A,#N/A,FALSE,"ADMIN";#N/A,#N/A,FALSE,"PROCES";#N/A,#N/A,FALSE,"mecan";#N/A,#N/A,FALSE,"civil";#N/A,#N/A,FALSE,"CAÑER";#N/A,#N/A,FALSE,"ELEC";#N/A,#N/A,FALSE,"INSTR"}</definedName>
    <definedName name="__lu1" hidden="1">{#N/A,#N/A,FALSE,"subcontract"}</definedName>
    <definedName name="__lu2" hidden="1">{#N/A,#N/A,FALSE,"subcontract"}</definedName>
    <definedName name="__lu222" hidden="1">{#N/A,#N/A,FALSE,"subcontract"}</definedName>
    <definedName name="__nn222" hidden="1">{#N/A,#N/A,FALSE,"subcontract"}</definedName>
    <definedName name="__pv2222" hidden="1">{#N/A,#N/A,FALSE,"subcontract"}</definedName>
    <definedName name="__sp2222" hidden="1">{#N/A,#N/A,FALSE,"subcontract"}</definedName>
    <definedName name="__tyl2" hidden="1">{#N/A,#N/A,FALSE,"masez (10)";#N/A,#N/A,FALSE,"masez (7)";#N/A,#N/A,FALSE,"masez (6)";#N/A,#N/A,FALSE,"masez (5)";#N/A,#N/A,FALSE,"masez (4)";#N/A,#N/A,FALSE,"masez (3)";#N/A,#N/A,FALSE,"masez (2)";#N/A,#N/A,FALSE,"GME";#N/A,#N/A,FALSE,"masez"}</definedName>
    <definedName name="__wq12" hidden="1">{#N/A,#N/A,FALSE,"Total_OC015";#N/A,#N/A,FALSE,"ADMIN";#N/A,#N/A,FALSE,"PROCES";#N/A,#N/A,FALSE,"mecan";#N/A,#N/A,FALSE,"civil";#N/A,#N/A,FALSE,"CAÑER";#N/A,#N/A,FALSE,"ELEC";#N/A,#N/A,FALSE,"INSTR"}</definedName>
    <definedName name="__wrn1" hidden="1">{#N/A,#N/A,TRUE,"Est. de Fact.";#N/A,#N/A,TRUE,"Capitulo 19";#N/A,#N/A,TRUE,"Proyecto P855"}</definedName>
    <definedName name="__wrn2" hidden="1">{#N/A,#N/A,TRUE,"Est. de Fact.";#N/A,#N/A,TRUE,"Capitulo 19";#N/A,#N/A,TRUE,"Proyecto P855"}</definedName>
    <definedName name="__wrn222" hidden="1">{#N/A,#N/A,FALSE,"subcontract"}</definedName>
    <definedName name="__wrn3" hidden="1">{#N/A,#N/A,FALSE,"Total_OC015";#N/A,#N/A,FALSE,"ADMIN";#N/A,#N/A,FALSE,"PROCES";#N/A,#N/A,FALSE,"mecan";#N/A,#N/A,FALSE,"civil";#N/A,#N/A,FALSE,"CAÑER";#N/A,#N/A,FALSE,"ELEC";#N/A,#N/A,FALSE,"INSTR"}</definedName>
    <definedName name="__wrn5" hidden="1">{#N/A,#N/A,FALSE,"minas";#N/A,#N/A,FALSE,"Total_OC015";#N/A,#N/A,FALSE,"ADMIN";#N/A,#N/A,FALSE,"PROCES";#N/A,#N/A,FALSE,"civil";#N/A,#N/A,FALSE,"CAÑER";#N/A,#N/A,FALSE,"ELEC";#N/A,#N/A,FALSE,"INSTR";#N/A,#N/A,FALSE,"PDS";#N/A,#N/A,FALSE,"mecan"}</definedName>
    <definedName name="__wrn6" hidden="1">{#N/A,#N/A,FALSE,"minas";#N/A,#N/A,FALSE,"Total_OC015";#N/A,#N/A,FALSE,"ADMIN";#N/A,#N/A,FALSE,"PROCES";#N/A,#N/A,FALSE,"civil";#N/A,#N/A,FALSE,"CAÑER";#N/A,#N/A,FALSE,"ELEC";#N/A,#N/A,FALSE,"INSTR";#N/A,#N/A,FALSE,"PDS";#N/A,#N/A,FALSE,"mecan"}</definedName>
    <definedName name="__xlfn.IFERROR" hidden="1">#NAME?</definedName>
    <definedName name="__zx2" hidden="1">{#N/A,#N/A,FALSE,"masez (10)";#N/A,#N/A,FALSE,"masez (7)";#N/A,#N/A,FALSE,"masez (6)";#N/A,#N/A,FALSE,"masez (5)";#N/A,#N/A,FALSE,"masez (4)";#N/A,#N/A,FALSE,"masez (3)";#N/A,#N/A,FALSE,"masez (2)";#N/A,#N/A,FALSE,"GME";#N/A,#N/A,FALSE,"masez"}</definedName>
    <definedName name="_1_____123Graph_A__200__BPF" hidden="1">#REF!</definedName>
    <definedName name="_1__123Graph_ACHART_1" hidden="1">#REF!</definedName>
    <definedName name="_10_____123Graph_C__200__D50" hidden="1">#REF!</definedName>
    <definedName name="_10__123Graph_XCHART_5" hidden="1">#REF!</definedName>
    <definedName name="_11_____123Graph_CGRANULOMETRIA_1" hidden="1">#REF!</definedName>
    <definedName name="_12_____123Graph_D__200__BPF" hidden="1">#REF!</definedName>
    <definedName name="_13_____123Graph_D__200__D50" hidden="1">#REF!</definedName>
    <definedName name="_14_____123Graph_E__200__BPF" hidden="1">#REF!</definedName>
    <definedName name="_15_____123Graph_E__200__D50" hidden="1">#REF!</definedName>
    <definedName name="_16_____123Graph_F__200__BPF" hidden="1">#REF!</definedName>
    <definedName name="_17_____123Graph_F__200__D50" hidden="1">#REF!</definedName>
    <definedName name="_18_____123Graph_X__200__BPF" hidden="1">#REF!</definedName>
    <definedName name="_19_____123Graph_X__200__D50" hidden="1">#REF!</definedName>
    <definedName name="_2_____123Graph_A__200__D50" hidden="1">#REF!</definedName>
    <definedName name="_2__123Graph_ACHART_3" hidden="1">#REF!</definedName>
    <definedName name="_20_____123Graph_XEFICIENCIA_1" hidden="1">#REF!</definedName>
    <definedName name="_21_____123Graph_XGRANULOMETRIA_1" hidden="1">#REF!</definedName>
    <definedName name="_22____123Graph_A__200__BPF" hidden="1">#REF!</definedName>
    <definedName name="_23____123Graph_A__200__D50" hidden="1">#REF!</definedName>
    <definedName name="_24____123Graph_AEFICIENCIA_1" hidden="1">#REF!</definedName>
    <definedName name="_25____123Graph_AGRANULOMETRIA_1" hidden="1">#REF!</definedName>
    <definedName name="_26____123Graph_B__200__BPF" hidden="1">#REF!</definedName>
    <definedName name="_27____123Graph_B__200__D50" hidden="1">#REF!</definedName>
    <definedName name="_28____123Graph_BEFICIENCIA_1" hidden="1">#REF!</definedName>
    <definedName name="_29____123Graph_BGRANULOMETRIA_1" hidden="1">#REF!</definedName>
    <definedName name="_3_____123Graph_AEFICIENCIA_1" hidden="1">#REF!</definedName>
    <definedName name="_3__123Graph_ACHART_4" hidden="1">#REF!</definedName>
    <definedName name="_30____123Graph_C__200__BPF" hidden="1">#REF!</definedName>
    <definedName name="_31____123Graph_C__200__D50" hidden="1">#REF!</definedName>
    <definedName name="_32____123Graph_CGRANULOMETRIA_1" hidden="1">#REF!</definedName>
    <definedName name="_33____123Graph_D__200__BPF" hidden="1">#REF!</definedName>
    <definedName name="_34____123Graph_D__200__D50" hidden="1">#REF!</definedName>
    <definedName name="_35____123Graph_E__200__BPF" hidden="1">#REF!</definedName>
    <definedName name="_36____123Graph_E__200__D50" hidden="1">#REF!</definedName>
    <definedName name="_37____123Graph_F__200__BPF" hidden="1">#REF!</definedName>
    <definedName name="_38____123Graph_F__200__D50" hidden="1">#REF!</definedName>
    <definedName name="_39____123Graph_X__200__BPF" hidden="1">#REF!</definedName>
    <definedName name="_4_____123Graph_AGRANULOMETRIA_1" hidden="1">#REF!</definedName>
    <definedName name="_4__123Graph_ACHART_5" hidden="1">#REF!</definedName>
    <definedName name="_40____123Graph_X__200__D50" hidden="1">#REF!</definedName>
    <definedName name="_41____123Graph_XEFICIENCIA_1" hidden="1">#REF!</definedName>
    <definedName name="_42____123Graph_XGRANULOMETRIA_1" hidden="1">#REF!</definedName>
    <definedName name="_43___123Graph_A__200__BPF" hidden="1">#REF!</definedName>
    <definedName name="_44___123Graph_A__200__D50" hidden="1">#REF!</definedName>
    <definedName name="_45___123Graph_AEFICIENCIA_1" hidden="1">#REF!</definedName>
    <definedName name="_46___123Graph_AGRANULOMETRIA_1" hidden="1">#REF!</definedName>
    <definedName name="_47___123Graph_B__200__BPF" hidden="1">#REF!</definedName>
    <definedName name="_48___123Graph_B__200__D50" hidden="1">#REF!</definedName>
    <definedName name="_49___123Graph_BEFICIENCIA_1" hidden="1">#REF!</definedName>
    <definedName name="_5_____123Graph_B__200__BPF" hidden="1">#REF!</definedName>
    <definedName name="_5__123Graph_BCHART_1" hidden="1">#REF!</definedName>
    <definedName name="_50___123Graph_BGRANULOMETRIA_1" hidden="1">#REF!</definedName>
    <definedName name="_51___123Graph_C__200__BPF" hidden="1">#REF!</definedName>
    <definedName name="_52___123Graph_C__200__D50" hidden="1">#REF!</definedName>
    <definedName name="_53___123Graph_CGRANULOMETRIA_1" hidden="1">#REF!</definedName>
    <definedName name="_54___123Graph_D__200__BPF" hidden="1">#REF!</definedName>
    <definedName name="_55___123Graph_D__200__D50" hidden="1">#REF!</definedName>
    <definedName name="_56___123Graph_E__200__BPF" hidden="1">#REF!</definedName>
    <definedName name="_57___123Graph_E__200__D50" hidden="1">#REF!</definedName>
    <definedName name="_58___123Graph_F__200__BPF" hidden="1">#REF!</definedName>
    <definedName name="_59___123Graph_F__200__D50" hidden="1">#REF!</definedName>
    <definedName name="_6_____123Graph_B__200__D50" hidden="1">#REF!</definedName>
    <definedName name="_6__123Graph_BCHART_4" hidden="1">#REF!</definedName>
    <definedName name="_60___123Graph_X__200__BPF" hidden="1">#REF!</definedName>
    <definedName name="_61___123Graph_X__200__D50" hidden="1">#REF!</definedName>
    <definedName name="_62___123Graph_XEFICIENCIA_1" hidden="1">#REF!</definedName>
    <definedName name="_63___123Graph_XGRANULOMETRIA_1" hidden="1">#REF!</definedName>
    <definedName name="_7_____123Graph_BEFICIENCIA_1" hidden="1">#REF!</definedName>
    <definedName name="_7__123Graph_CCHART_1" hidden="1">#REF!</definedName>
    <definedName name="_8_____123Graph_BGRANULOMETRIA_1" hidden="1">#REF!</definedName>
    <definedName name="_8__123Graph_DCHART_1" hidden="1">#REF!</definedName>
    <definedName name="_9_____123Graph_C__200__BPF" hidden="1">#REF!</definedName>
    <definedName name="_9__123Graph_ECHART_1" hidden="1">#REF!</definedName>
    <definedName name="_AtRisk_SimSetting_AutomaticallyGenerateReports" hidden="1">FALSE</definedName>
    <definedName name="_AtRisk_SimSetting_AutomaticResultsDisplayMode" hidden="1">0</definedName>
    <definedName name="_AtRisk_SimSetting_ConvergenceConfidenceLevel" hidden="1">0.95</definedName>
    <definedName name="_AtRisk_SimSetting_ConvergencePercentileToTest" hidden="1">0.9</definedName>
    <definedName name="_AtRisk_SimSetting_ConvergencePerformMeanTest" hidden="1">TRUE</definedName>
    <definedName name="_AtRisk_SimSetting_ConvergencePerformPercentileTest" hidden="1">FALSE</definedName>
    <definedName name="_AtRisk_SimSetting_ConvergencePerformStdDeviationTest" hidden="1">FALSE</definedName>
    <definedName name="_AtRisk_SimSetting_ConvergenceTestAllOutputs" hidden="1">TRUE</definedName>
    <definedName name="_AtRisk_SimSetting_ConvergenceTestingPeriod" hidden="1">100</definedName>
    <definedName name="_AtRisk_SimSetting_ConvergenceTolerance" hidden="1">0.03</definedName>
    <definedName name="_AtRisk_SimSetting_GoalSeekTargetValue" hidden="1">0</definedName>
    <definedName name="_AtRisk_SimSetting_LiveUpdate" hidden="1">TRUE</definedName>
    <definedName name="_AtRisk_SimSetting_LiveUpdatePeriod" hidden="1">-1</definedName>
    <definedName name="_AtRisk_SimSetting_MacroMode" hidden="1">0</definedName>
    <definedName name="_AtRisk_SimSetting_MacroRecalculationBehavior" hidden="1">0</definedName>
    <definedName name="_AtRisk_SimSetting_MultipleCPUManualCount" hidden="1">8</definedName>
    <definedName name="_AtRisk_SimSetting_MultipleCPUMode" hidden="1">0</definedName>
    <definedName name="_AtRisk_SimSetting_RandomNumberGenerator" hidden="1">0</definedName>
    <definedName name="_AtRisk_SimSetting_ReportOptionCustomItemsCount" hidden="1">0</definedName>
    <definedName name="_AtRisk_SimSetting_ReportOptionDataMode" hidden="1">1</definedName>
    <definedName name="_AtRisk_SimSetting_ReportOptionReportMultiSimType" hidden="1">1</definedName>
    <definedName name="_AtRisk_SimSetting_ReportOptionReportPlacement" hidden="1">1</definedName>
    <definedName name="_AtRisk_SimSetting_ReportOptionReportSelection" hidden="1">544</definedName>
    <definedName name="_AtRisk_SimSetting_ReportOptionReportsFileType" hidden="1">1</definedName>
    <definedName name="_AtRisk_SimSetting_ReportOptionReportStyle" hidden="1">1</definedName>
    <definedName name="_AtRisk_SimSetting_ReportOptionSelectiveQR" hidden="1">FALSE</definedName>
    <definedName name="_AtRisk_SimSetting_ReportsList" hidden="1">0</definedName>
    <definedName name="_AtRisk_SimSetting_ShowSimulationProgressWindow" hidden="1">TRUE</definedName>
    <definedName name="_AtRisk_SimSetting_SimNameCount" hidden="1">0</definedName>
    <definedName name="_AtRisk_SimSetting_SmartSensitivityAnalysisEnabled" hidden="1">TRUE</definedName>
    <definedName name="_AtRisk_SimSetting_StatisticFunctionUpdating" hidden="1">1</definedName>
    <definedName name="_AtRisk_SimSetting_StdRecalcActiveSimulationNumber" hidden="1">1</definedName>
    <definedName name="_AtRisk_SimSetting_StdRecalcBehavior" hidden="1">0</definedName>
    <definedName name="_AtRisk_SimSetting_StdRecalcWithoutRiskStatic" hidden="1">0</definedName>
    <definedName name="_AtRisk_SimSetting_StdRecalcWithoutRiskStaticPercentile" hidden="1">0.5</definedName>
    <definedName name="_av2" hidden="1">{#N/A,#N/A,FALSE,"subcontract"}</definedName>
    <definedName name="_cc1" hidden="1">{"DETALLE_1996",#N/A,FALSE,"flujo";"DETALLE_1997",#N/A,FALSE,"flujo";"GASTOS_INCURRIDOS_1996",#N/A,FALSE,"flujo";"GASTOS_PROGRAMADOS_PARA_1997",#N/A,FALSE,"flujo";#N/A,#N/A,FALSE,"comparat";#N/A,#N/A,FALSE,"costos";#N/A,#N/A,FALSE,"proyctrol"}</definedName>
    <definedName name="_FC" hidden="1">{"DETALLE_1996",#N/A,FALSE,"flujo";"DETALLE_1997",#N/A,FALSE,"flujo";"GASTOS_INCURRIDOS_1996",#N/A,FALSE,"flujo";"GASTOS_PROGRAMADOS_PARA_1997",#N/A,FALSE,"flujo";#N/A,#N/A,FALSE,"comparat";#N/A,#N/A,FALSE,"costos";#N/A,#N/A,FALSE,"proyctrol"}</definedName>
    <definedName name="_fdsafsd" hidden="1">#REF!</definedName>
    <definedName name="_FHE7" hidden="1">{#N/A,#N/A,FALSE,"masez (10)";#N/A,#N/A,FALSE,"masez (7)";#N/A,#N/A,FALSE,"masez (6)";#N/A,#N/A,FALSE,"masez (5)";#N/A,#N/A,FALSE,"masez (4)";#N/A,#N/A,FALSE,"masez (3)";#N/A,#N/A,FALSE,"masez (2)";#N/A,#N/A,FALSE,"GME";#N/A,#N/A,FALSE,"masez"}</definedName>
    <definedName name="_Fill" hidden="1">#REF!</definedName>
    <definedName name="_Fill2" hidden="1">#REF!</definedName>
    <definedName name="_filll" hidden="1">#REF!</definedName>
    <definedName name="_Filltest" hidden="1">#REF!</definedName>
    <definedName name="_xlnm._FilterDatabase" localSheetId="2" hidden="1">Requirements!$A$1:$M$202</definedName>
    <definedName name="_xlnm._FilterDatabase" localSheetId="4" hidden="1">'Requirements Formulas'!$A$1:$M$202</definedName>
    <definedName name="_xlnm._FilterDatabase" hidden="1">#N/A</definedName>
    <definedName name="_FilterDatabase2" hidden="1">#REF!</definedName>
    <definedName name="_FilterDatabase22" hidden="1">#REF!</definedName>
    <definedName name="_FilterDatabase3" hidden="1">#REF!</definedName>
    <definedName name="_FilterDB" hidden="1">#REF!</definedName>
    <definedName name="_gl1" hidden="1">{#N/A,#N/A,FALSE,"Total_OC015";#N/A,#N/A,FALSE,"ADMIN";#N/A,#N/A,FALSE,"PROCES";#N/A,#N/A,FALSE,"mecan";#N/A,#N/A,FALSE,"civil";#N/A,#N/A,FALSE,"CAÑER";#N/A,#N/A,FALSE,"ELEC";#N/A,#N/A,FALSE,"INSTR"}</definedName>
    <definedName name="_jy5" hidden="1">{#N/A,#N/A,FALSE,"masez (10)";#N/A,#N/A,FALSE,"masez (7)";#N/A,#N/A,FALSE,"masez (6)";#N/A,#N/A,FALSE,"masez (5)";#N/A,#N/A,FALSE,"masez (4)";#N/A,#N/A,FALSE,"masez (3)";#N/A,#N/A,FALSE,"masez (2)";#N/A,#N/A,FALSE,"GME";#N/A,#N/A,FALSE,"masez"}</definedName>
    <definedName name="_Key1" hidden="1">#REF!</definedName>
    <definedName name="_Key12" hidden="1">#REF!</definedName>
    <definedName name="_Key2" hidden="1">#REF!</definedName>
    <definedName name="_kk1"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_kk2" hidden="1">{"FlujoGastos",#N/A,FALSE,"Base";"FlujoGastos",#N/A,FALSE,"Buzón Tren";"FlujoGastos",#N/A,FALSE,"Buzón Camión";"FlujoGastos",#N/A,FALSE,"LHD Camión";"FlujoGastos",#N/A,FALSE,"Cámara Camión"}</definedName>
    <definedName name="_kk3"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_kk4" hidden="1">{"desarrollo",#N/A,FALSE,"Cámara Camión";"resumen",#N/A,FALSE,"Cámara Camión";"eqprod",#N/A,FALSE,"Cámara Camión"}</definedName>
    <definedName name="_lot1" hidden="1">{#N/A,#N/A,FALSE,"Total_OC015";#N/A,#N/A,FALSE,"ADMIN";#N/A,#N/A,FALSE,"PROCES";#N/A,#N/A,FALSE,"mecan";#N/A,#N/A,FALSE,"civil";#N/A,#N/A,FALSE,"CAÑER";#N/A,#N/A,FALSE,"ELEC";#N/A,#N/A,FALSE,"INSTR"}</definedName>
    <definedName name="_lu1" hidden="1">{#N/A,#N/A,FALSE,"subcontract"}</definedName>
    <definedName name="_lu2" hidden="1">{#N/A,#N/A,FALSE,"subcontract"}</definedName>
    <definedName name="_lu222" hidden="1">{#N/A,#N/A,FALSE,"subcontract"}</definedName>
    <definedName name="_nn222" hidden="1">{#N/A,#N/A,FALSE,"subcontract"}</definedName>
    <definedName name="_Order1" hidden="1">255</definedName>
    <definedName name="_Order2" hidden="1">0</definedName>
    <definedName name="_Order21" hidden="1">255</definedName>
    <definedName name="_Parse_Out" hidden="1">#REF!</definedName>
    <definedName name="_pv2222" hidden="1">{#N/A,#N/A,FALSE,"subcontract"}</definedName>
    <definedName name="_r" hidden="1">{"DETALLE_1996",#N/A,FALSE,"flujo";"DETALLE_1997",#N/A,FALSE,"flujo";"GASTOS_INCURRIDOS_1996",#N/A,FALSE,"flujo";"GASTOS_PROGRAMADOS_PARA_1997",#N/A,FALSE,"flujo";#N/A,#N/A,FALSE,"comparat";#N/A,#N/A,FALSE,"costos";#N/A,#N/A,FALSE,"proyctrol"}</definedName>
    <definedName name="_Regression_Out" hidden="1">#REF!</definedName>
    <definedName name="_Regression_X" hidden="1">#REF!</definedName>
    <definedName name="_Regression_Y" hidden="1">#REF!</definedName>
    <definedName name="_Sort" hidden="1">#REF!</definedName>
    <definedName name="_sp2222" hidden="1">{#N/A,#N/A,FALSE,"subcontract"}</definedName>
    <definedName name="_Table1_In1" hidden="1">#REF!</definedName>
    <definedName name="_Table1_Out" hidden="1">#REF!</definedName>
    <definedName name="_Table2_In1" hidden="1">#REF!</definedName>
    <definedName name="_Table2_In2" hidden="1">#REF!</definedName>
    <definedName name="_Table2_Out" hidden="1">#REF!</definedName>
    <definedName name="_tyl2" hidden="1">{#N/A,#N/A,FALSE,"masez (10)";#N/A,#N/A,FALSE,"masez (7)";#N/A,#N/A,FALSE,"masez (6)";#N/A,#N/A,FALSE,"masez (5)";#N/A,#N/A,FALSE,"masez (4)";#N/A,#N/A,FALSE,"masez (3)";#N/A,#N/A,FALSE,"masez (2)";#N/A,#N/A,FALSE,"GME";#N/A,#N/A,FALSE,"masez"}</definedName>
    <definedName name="_wq12" hidden="1">{#N/A,#N/A,FALSE,"Total_OC015";#N/A,#N/A,FALSE,"ADMIN";#N/A,#N/A,FALSE,"PROCES";#N/A,#N/A,FALSE,"mecan";#N/A,#N/A,FALSE,"civil";#N/A,#N/A,FALSE,"CAÑER";#N/A,#N/A,FALSE,"ELEC";#N/A,#N/A,FALSE,"INSTR"}</definedName>
    <definedName name="_wrn1" hidden="1">{#N/A,#N/A,TRUE,"Est. de Fact.";#N/A,#N/A,TRUE,"Capitulo 19";#N/A,#N/A,TRUE,"Proyecto P855"}</definedName>
    <definedName name="_wrn2" hidden="1">{#N/A,#N/A,TRUE,"Est. de Fact.";#N/A,#N/A,TRUE,"Capitulo 19";#N/A,#N/A,TRUE,"Proyecto P855"}</definedName>
    <definedName name="_wrn222" hidden="1">{#N/A,#N/A,FALSE,"subcontract"}</definedName>
    <definedName name="_wrn3" hidden="1">{#N/A,#N/A,FALSE,"Total_OC015";#N/A,#N/A,FALSE,"ADMIN";#N/A,#N/A,FALSE,"PROCES";#N/A,#N/A,FALSE,"mecan";#N/A,#N/A,FALSE,"civil";#N/A,#N/A,FALSE,"CAÑER";#N/A,#N/A,FALSE,"ELEC";#N/A,#N/A,FALSE,"INSTR"}</definedName>
    <definedName name="_wrn5" hidden="1">{#N/A,#N/A,FALSE,"minas";#N/A,#N/A,FALSE,"Total_OC015";#N/A,#N/A,FALSE,"ADMIN";#N/A,#N/A,FALSE,"PROCES";#N/A,#N/A,FALSE,"civil";#N/A,#N/A,FALSE,"CAÑER";#N/A,#N/A,FALSE,"ELEC";#N/A,#N/A,FALSE,"INSTR";#N/A,#N/A,FALSE,"PDS";#N/A,#N/A,FALSE,"mecan"}</definedName>
    <definedName name="_wrn6" hidden="1">{#N/A,#N/A,FALSE,"minas";#N/A,#N/A,FALSE,"Total_OC015";#N/A,#N/A,FALSE,"ADMIN";#N/A,#N/A,FALSE,"PROCES";#N/A,#N/A,FALSE,"civil";#N/A,#N/A,FALSE,"CAÑER";#N/A,#N/A,FALSE,"ELEC";#N/A,#N/A,FALSE,"INSTR";#N/A,#N/A,FALSE,"PDS";#N/A,#N/A,FALSE,"mecan"}</definedName>
    <definedName name="_zx2" hidden="1">{#N/A,#N/A,FALSE,"masez (10)";#N/A,#N/A,FALSE,"masez (7)";#N/A,#N/A,FALSE,"masez (6)";#N/A,#N/A,FALSE,"masez (5)";#N/A,#N/A,FALSE,"masez (4)";#N/A,#N/A,FALSE,"masez (3)";#N/A,#N/A,FALSE,"masez (2)";#N/A,#N/A,FALSE,"GME";#N/A,#N/A,FALSE,"masez"}</definedName>
    <definedName name="A" hidden="1">0</definedName>
    <definedName name="A02M310" hidden="1">{"DETALLE_1996",#N/A,FALSE,"flujo";"DETALLE_1997",#N/A,FALSE,"flujo";"GASTOS_INCURRIDOS_1996",#N/A,FALSE,"flujo";"GASTOS_PROGRAMADOS_PARA_1997",#N/A,FALSE,"flujo";#N/A,#N/A,FALSE,"comparat";#N/A,#N/A,FALSE,"costos";#N/A,#N/A,FALSE,"proyctrol"}</definedName>
    <definedName name="A03M406" hidden="1">{#N/A,#N/A,FALSE,"Total_OC015";#N/A,#N/A,FALSE,"ADMIN";#N/A,#N/A,FALSE,"PROCES";#N/A,#N/A,FALSE,"mecan";#N/A,#N/A,FALSE,"civil";#N/A,#N/A,FALSE,"CAÑER";#N/A,#N/A,FALSE,"ELEC";#N/A,#N/A,FALSE,"INSTR"}</definedName>
    <definedName name="aa" hidden="1">{#N/A,#N/A,FALSE,"minas";#N/A,#N/A,FALSE,"Total_OC015";#N/A,#N/A,FALSE,"ADMIN";#N/A,#N/A,FALSE,"PROCES";#N/A,#N/A,FALSE,"civil";#N/A,#N/A,FALSE,"CAÑER";#N/A,#N/A,FALSE,"ELEC";#N/A,#N/A,FALSE,"INSTR";#N/A,#N/A,FALSE,"PDS";#N/A,#N/A,FALSE,"mecan"}</definedName>
    <definedName name="AAAAAA" hidden="1">{"DETALLE_1996",#N/A,FALSE,"flujo";"DETALLE_1997",#N/A,FALSE,"flujo";"GASTOS_INCURRIDOS_1996",#N/A,FALSE,"flujo";"GASTOS_PROGRAMADOS_PARA_1997",#N/A,FALSE,"flujo";#N/A,#N/A,FALSE,"comparat";#N/A,#N/A,FALSE,"costos";#N/A,#N/A,FALSE,"proyctrol"}</definedName>
    <definedName name="ab" hidden="1">{"Sens Table",#N/A,FALSE,"Timing &amp; Assumptions";#N/A,#N/A,FALSE,"Key Data &amp; Results";"Cash Flow",#N/A,FALSE,"Cash Flows";#N/A,#N/A,FALSE,"Table of Contents";"Total Op Expenses Base Case",#N/A,FALSE,"Total Op Costs";"Plant Opex Base Case",#N/A,FALSE,"Plant Operating Expenses";"Mine Opex Base Case",#N/A,FALSE,"Mine Op Costs";"View_Base",#N/A,FALSE,"Labor Summary by Operation";"View_Base",#N/A,FALSE,"Labor by Function";"Cost Base",#N/A,FALSE,"Cost Table";"Book Base",#N/A,FALSE,"Book Depreciation";"Mine Plan Base Case",#N/A,FALSE,"Mine Plan";"Unit Costs",#N/A,FALSE,"Timing &amp; Assumptions"}</definedName>
    <definedName name="ABC" hidden="1">{#N/A,#N/A,FALSE,"Total_OC015";#N/A,#N/A,FALSE,"ADMIN";#N/A,#N/A,FALSE,"PROCES";#N/A,#N/A,FALSE,"mecan";#N/A,#N/A,FALSE,"civil";#N/A,#N/A,FALSE,"CAÑER";#N/A,#N/A,FALSE,"ELEC";#N/A,#N/A,FALSE,"INSTR"}</definedName>
    <definedName name="Access_Button" hidden="1">"PCDA_Commercial_evaluation__Iss_D3__Liste"</definedName>
    <definedName name="AccessDatabase" hidden="1">"C:\DATAS\hpv\pgpi\pgpi.mdb"</definedName>
    <definedName name="aCUM" hidden="1">{"Acumulados",#N/A,FALSE,"Acumulados"}</definedName>
    <definedName name="ACwvu.GAITHERSBURG._.OFFICE." hidden="1">#REF!</definedName>
    <definedName name="ACwvu.garo_graph." hidden="1">#REF!</definedName>
    <definedName name="ACwvu.garo_personnel." hidden="1">#REF!</definedName>
    <definedName name="ACwvu.headcount._.change." hidden="1">#REF!</definedName>
    <definedName name="ACwvu.personnel._.by._.location." hidden="1">#REF!</definedName>
    <definedName name="ADN" hidden="1">{#N/A,#N/A,FALSE,"PXP-TOTAL Modif";"vis2",#N/A,FALSE,"PXP-AÑO";"Vis1",#N/A,FALSE,"PXP-AÑO"}</definedName>
    <definedName name="AE" hidden="1">{#N/A,#N/A,FALSE,"minas";#N/A,#N/A,FALSE,"Total_OC015";#N/A,#N/A,FALSE,"ADMIN";#N/A,#N/A,FALSE,"PROCES";#N/A,#N/A,FALSE,"civil";#N/A,#N/A,FALSE,"CAÑER";#N/A,#N/A,FALSE,"ELEC";#N/A,#N/A,FALSE,"INSTR";#N/A,#N/A,FALSE,"PDS";#N/A,#N/A,FALSE,"mecan"}</definedName>
    <definedName name="agua" hidden="1">{"Sens Table",#N/A,FALSE,"Timing &amp; Assumptions";#N/A,#N/A,FALSE,"Key Data &amp; Results";"Cash Flow",#N/A,FALSE,"Cash Flows";#N/A,#N/A,FALSE,"Table of Contents";"Total Op Expenses Base Case",#N/A,FALSE,"Total Op Costs";"Plant Opex Base Case",#N/A,FALSE,"Plant Operating Expenses";"Mine Opex Base Case",#N/A,FALSE,"Mine Op Costs";"View_Base",#N/A,FALSE,"Labor Summary by Operation";"View_Base",#N/A,FALSE,"Labor by Function";"Cost Base",#N/A,FALSE,"Cost Table";"Book Base",#N/A,FALSE,"Book Depreciation";"Mine Plan Base Case",#N/A,FALSE,"Mine Plan";"Unit Costs",#N/A,FALSE,"Timing &amp; Assumptions"}</definedName>
    <definedName name="alex" hidden="1">{"Sens Table",#N/A,FALSE,"Timing &amp; Assumptions";#N/A,#N/A,FALSE,"Key Data &amp; Results";"Cash Flow",#N/A,FALSE,"Cash Flows";#N/A,#N/A,FALSE,"Table of Contents";"Total Op Expenses Base Case",#N/A,FALSE,"Total Op Costs";"Plant Opex Base Case",#N/A,FALSE,"Plant Operating Expenses";"Mine Opex Base Case",#N/A,FALSE,"Mine Op Costs";"View_Base",#N/A,FALSE,"Labor Summary by Operation";"View_Base",#N/A,FALSE,"Labor by Function";"Cost Base",#N/A,FALSE,"Cost Table";"Book Base",#N/A,FALSE,"Book Depreciation";"Mine Plan Base Case",#N/A,FALSE,"Mine Plan";"Unit Costs",#N/A,FALSE,"Timing &amp; Assumptions"}</definedName>
    <definedName name="amante"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anscount" hidden="1">1</definedName>
    <definedName name="ARCHITECT">'[1]Load Sheet'!$D$11</definedName>
    <definedName name="ARPEF">'[2]CAT - CODE'!$G$1524</definedName>
    <definedName name="asd" hidden="1">{"cuadro1",#N/A,FALSE,"Buzon Camion Opción 3";"cuadro2",#N/A,FALSE,"Buzon Camion Opción 3";"cuadro3",#N/A,FALSE,"Buzon Camion Opción 3";"cuadro4",#N/A,FALSE,"Buzon Camion Opción 3"}</definedName>
    <definedName name="asdw" hidden="1">{#N/A,#N/A,TRUE,"Est. de Fact.";#N/A,#N/A,TRUE,"Capitulo 19";#N/A,#N/A,TRUE,"Proyecto P855"}</definedName>
    <definedName name="asssad" hidden="1">{#N/A,#N/A,TRUE,"Est. de Fact.";#N/A,#N/A,TRUE,"Capitulo 19";#N/A,#N/A,TRUE,"Proyecto P855"}</definedName>
    <definedName name="AV" hidden="1">{#N/A,#N/A,FALSE,"subcontract"}</definedName>
    <definedName name="avance" hidden="1">{"MO(BASE)",#N/A,FALSE,"MO(BASE)";"MO(BASE)1",#N/A,FALSE,"MO(BASE)";"MO(BASE)2",#N/A,FALSE,"MO(BASE)"}</definedName>
    <definedName name="avc" hidden="1">{#N/A,#N/A,FALSE,"Total_OC015";#N/A,#N/A,FALSE,"ADMIN";#N/A,#N/A,FALSE,"PROCES";#N/A,#N/A,FALSE,"mecan";#N/A,#N/A,FALSE,"civil";#N/A,#N/A,FALSE,"CAÑER";#N/A,#N/A,FALSE,"ELEC";#N/A,#N/A,FALSE,"INSTR"}</definedName>
    <definedName name="b" hidden="1">{#N/A,#N/A,FALSE,"Total_OC015";#N/A,#N/A,FALSE,"ADMIN";#N/A,#N/A,FALSE,"PROCES";#N/A,#N/A,FALSE,"mecan";#N/A,#N/A,FALSE,"civil";#N/A,#N/A,FALSE,"CAÑER";#N/A,#N/A,FALSE,"ELEC";#N/A,#N/A,FALSE,"INSTR"}</definedName>
    <definedName name="bb" hidden="1">{#N/A,#N/A,FALSE,"minas";#N/A,#N/A,FALSE,"Total_OC015";#N/A,#N/A,FALSE,"ADMIN";#N/A,#N/A,FALSE,"PROCES";#N/A,#N/A,FALSE,"civil";#N/A,#N/A,FALSE,"CAÑER";#N/A,#N/A,FALSE,"ELEC";#N/A,#N/A,FALSE,"INSTR";#N/A,#N/A,FALSE,"PDS";#N/A,#N/A,FALSE,"mecan"}</definedName>
    <definedName name="bbb" hidden="1">{"DETALLE_1996",#N/A,FALSE,"flujo";"DETALLE_1997",#N/A,FALSE,"flujo";"GASTOS_INCURRIDOS_1996",#N/A,FALSE,"flujo";"GASTOS_PROGRAMADOS_PARA_1997",#N/A,FALSE,"flujo";#N/A,#N/A,FALSE,"comparat";#N/A,#N/A,FALSE,"costos";#N/A,#N/A,FALSE,"proyctrol"}</definedName>
    <definedName name="bends" hidden="1">{"EXEC",#N/A,TRUE,"Header";"EXEC_1",#N/A,TRUE,"Summary_1"}</definedName>
    <definedName name="BF">'[2]CAT - CODE'!$G$1528</definedName>
    <definedName name="BIDDATE">'[1]Load Sheet'!$D$10</definedName>
    <definedName name="BLDAREA">'[1]Load Sheet'!$D$12</definedName>
    <definedName name="bnm" hidden="1">{#N/A,#N/A,TRUE,"Est. de Fact.";#N/A,#N/A,TRUE,"Capitulo 19";#N/A,#N/A,TRUE,"Proyecto P855"}</definedName>
    <definedName name="bnmm" hidden="1">{"DETALLE_1996",#N/A,FALSE,"flujo";"DETALLE_1997",#N/A,FALSE,"flujo";"GASTOS_INCURRIDOS_1996",#N/A,FALSE,"flujo";"GASTOS_PROGRAMADOS_PARA_1997",#N/A,FALSE,"flujo";#N/A,#N/A,FALSE,"comparat";#N/A,#N/A,FALSE,"costos";#N/A,#N/A,FALSE,"proyctrol"}</definedName>
    <definedName name="BUDGET_DATA">'[3]Budget Tracker'!$AK$6:$CX$116</definedName>
    <definedName name="BUDGET_STATUS">'[3]Budget Tracker'!$AK$5:$CX$5</definedName>
    <definedName name="BUDGET_TITLE_FY">'[3]Budget Tracker'!$AK$4:$CX$4</definedName>
    <definedName name="BUDGET_TITLE_MONTH">'[3]Budget Tracker'!$AK$2:$CX$2</definedName>
    <definedName name="BUDGET_TITLE_QUARTER">'[3]Budget Tracker'!$AK$3:$CX$3</definedName>
    <definedName name="bvnn" hidden="1">{#N/A,#N/A,FALSE,"Total_OC015";#N/A,#N/A,FALSE,"ADMIN";#N/A,#N/A,FALSE,"PROCES";#N/A,#N/A,FALSE,"mecan";#N/A,#N/A,FALSE,"civil";#N/A,#N/A,FALSE,"CAÑER";#N/A,#N/A,FALSE,"ELEC";#N/A,#N/A,FALSE,"INSTR"}</definedName>
    <definedName name="caca" hidden="1">{#N/A,#N/A,TRUE,"Est. de Fact.";#N/A,#N/A,TRUE,"Capitulo 19";#N/A,#N/A,TRUE,"Proyecto P855"}</definedName>
    <definedName name="Calculo" hidden="1">#REF!</definedName>
    <definedName name="Camióm" hidden="1">{"FlujoGastos",#N/A,FALSE,"Base";"FlujoGastos",#N/A,FALSE,"Buzón Tren";"FlujoGastos",#N/A,FALSE,"Buzón Camión";"FlujoGastos",#N/A,FALSE,"LHD Camión";"FlujoGastos",#N/A,FALSE,"Cámara Camión"}</definedName>
    <definedName name="carta" hidden="1">{"DETALLE_1996",#N/A,FALSE,"flujo";"DETALLE_1997",#N/A,FALSE,"flujo";"GASTOS_INCURRIDOS_1996",#N/A,FALSE,"flujo";"GASTOS_PROGRAMADOS_PARA_1997",#N/A,FALSE,"flujo";#N/A,#N/A,FALSE,"comparat";#N/A,#N/A,FALSE,"costos";#N/A,#N/A,FALSE,"proyctrol"}</definedName>
    <definedName name="CARTAS" hidden="1">{"DETALLE_1996",#N/A,FALSE,"flujo";"DETALLE_1997",#N/A,FALSE,"flujo";"GASTOS_INCURRIDOS_1996",#N/A,FALSE,"flujo";"GASTOS_PROGRAMADOS_PARA_1997",#N/A,FALSE,"flujo";#N/A,#N/A,FALSE,"comparat";#N/A,#N/A,FALSE,"costos";#N/A,#N/A,FALSE,"proyctrol"}</definedName>
    <definedName name="casa" hidden="1">{#N/A,#N/A,FALSE,"masez (10)";#N/A,#N/A,FALSE,"masez (7)";#N/A,#N/A,FALSE,"masez (6)";#N/A,#N/A,FALSE,"masez (5)";#N/A,#N/A,FALSE,"masez (4)";#N/A,#N/A,FALSE,"masez (3)";#N/A,#N/A,FALSE,"masez (2)";#N/A,#N/A,FALSE,"GME";#N/A,#N/A,FALSE,"masez"}</definedName>
    <definedName name="CATS.Project" hidden="1">"W1301A"</definedName>
    <definedName name="CB_Precast">'[4]Option 1.2A'!$J$19:$L$21</definedName>
    <definedName name="CB_Procurement">'[4]Option 1.2A'!$N$50:$N$69</definedName>
    <definedName name="cb_sChart10D6460A_opts">"1, 1, 1, False, 2, True, False, , 0, False, False, 1, 1"</definedName>
    <definedName name="cb_sChart10D65256_opts">"1, 1, 1, False, 2, True, False, , 0, False, False, 1, 1"</definedName>
    <definedName name="cb_sChart10D653EB_opts">"1, 1, 1, False, 2, True, False, , 0, False, False, 1, 1"</definedName>
    <definedName name="cb_sChart10D65893_opts">"1, 1, 1, False, 2, True, False, , 0, False, False, 1, 1"</definedName>
    <definedName name="cb_sChart12595BBC_opts">"1, 1, 1, False, 2, True, False, , 0, False, False, 2, 2"</definedName>
    <definedName name="cb_sChart12595E44_opts">"1, 3, 1, False, 2, True, False, , 0, True, False, 2, 2"</definedName>
    <definedName name="cb_sChartEE4CE1B_opts">"1, 4, 1, False, 2, False, False, , 0, False, False, 1, 1"</definedName>
    <definedName name="cb_sChartEE4CF99_opts">"1, 1, 1, False, 2, False, False, , 0, False, False, 1, 1"</definedName>
    <definedName name="cb_sChartEE4DD06_opts">"1, 1, 1, False, 2, False, False, , 0, False, False, 1, 2"</definedName>
    <definedName name="cb_sChartEE4E93B_opts">"1, 1, 1, False, 2, False, False, , 0, False, False, 1, 1"</definedName>
    <definedName name="cb_sChartEE51E95_opts">"1, 1, 1, False, 2, False, False, , 0, False, False, 1, 1"</definedName>
    <definedName name="cb_sChartEED7645_opts">"1, 1, 1, False, 2, False, False, , 0, False, False, 1, 1"</definedName>
    <definedName name="cb_sChartEEDA195_opts">"1, 1, 1, False, 2, False, False, , 0, False, False, 1, 1"</definedName>
    <definedName name="cb_sChartEEDC338_opts">"1, 1, 1, False, 2, False, False, , 0, False, False, 1, 1"</definedName>
    <definedName name="cb_sChartEEDEDB8_opts">"1, 1, 1, False, 2, False, False, , 0, False, True, 1, 1"</definedName>
    <definedName name="cb_sChartEEDEE5A_opts">"1, 3, 1, False, 2, True, False, , 0, False, True, 1, 1"</definedName>
    <definedName name="cb_sChartEEDF178_opts">"1, 3, 1, False, 2, False, False, , 0, False, True, 1, 1"</definedName>
    <definedName name="cb_sChartF6A6B11_opts">"1, 1, 1, False, 2, True, False, , 0, False, False, 1, 1"</definedName>
    <definedName name="cb_sChartFD191DC_opts">"1, 3, 1, False, 2, True, False, , 0, False, True, 1, 1"</definedName>
    <definedName name="cb_sChartFD1A245_opts">"1, 3, 1, False, 2, True, False, , 0, False, True, 1, 1"</definedName>
    <definedName name="cb_sChartFD3F0E9_opts">"1, 3, 1, False, 2, True, False, , 0, False, False, 1, 1"</definedName>
    <definedName name="cb_sChartFD3F27E_opts">"1, 3, 1, False, 2, True, False, , 0, False, True, 1, 1"</definedName>
    <definedName name="cb_sChartFD58483_opts">"1, 1, 1, False, 2, True, False, , 0, False, False, 1, 1"</definedName>
    <definedName name="cb_sChartFD5C4CD_opts">"1, 1, 1, False, 2, True, False, , 0, False, False, 1, 1"</definedName>
    <definedName name="cb_sChartFD5D4CE_opts">"1, 1, 1, False, 2, True, False, , 0, False, False, 1, 1"</definedName>
    <definedName name="cb_sChartFD5DF34_opts">"1, 1, 1, False, 2, True, False, , 0, False, False, 1, 1"</definedName>
    <definedName name="cb_sChartFD5EFC0_opts">"1, 1, 1, False, 2, True, False, , 0, False, False, 1, 1"</definedName>
    <definedName name="cb_sChartFD5FDB9_opts">"1, 1, 1, False, 2, True, False, , 0, False, False, 1, 1"</definedName>
    <definedName name="cb_sChartFE54712_opts">"1, 3, 1, False, 2, True, False, , 0, False, True, 1, 1"</definedName>
    <definedName name="CB_Screw">'[4]Option 1.2A'!$M$19:$P$21</definedName>
    <definedName name="CBWorkbookPriority" hidden="1">-139715706</definedName>
    <definedName name="cc" hidden="1">{"DETALLE_1996",#N/A,FALSE,"flujo";"DETALLE_1997",#N/A,FALSE,"flujo";"GASTOS_INCURRIDOS_1996",#N/A,FALSE,"flujo";"GASTOS_PROGRAMADOS_PARA_1997",#N/A,FALSE,"flujo";#N/A,#N/A,FALSE,"comparat";#N/A,#N/A,FALSE,"costos";#N/A,#N/A,FALSE,"proyctrol"}</definedName>
    <definedName name="ccc" hidden="1">{"DETALLE_1996",#N/A,FALSE,"flujo";"DETALLE_1997",#N/A,FALSE,"flujo";"GASTOS_INCURRIDOS_1996",#N/A,FALSE,"flujo";"GASTOS_PROGRAMADOS_PARA_1997",#N/A,FALSE,"flujo";#N/A,#N/A,FALSE,"comparat";#N/A,#N/A,FALSE,"costos";#N/A,#N/A,FALSE,"proyctrol"}</definedName>
    <definedName name="Chancador"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CHSFH" hidden="1">{#N/A,#N/A,FALSE,"masez (10)";#N/A,#N/A,FALSE,"masez (7)";#N/A,#N/A,FALSE,"masez (6)";#N/A,#N/A,FALSE,"masez (5)";#N/A,#N/A,FALSE,"masez (4)";#N/A,#N/A,FALSE,"masez (3)";#N/A,#N/A,FALSE,"masez (2)";#N/A,#N/A,FALSE,"GME";#N/A,#N/A,FALSE,"masez"}</definedName>
    <definedName name="CIPEF">'[2]CAT - CODE'!$G$1517</definedName>
    <definedName name="CLEARHEIGHT">'[1]Load Sheet'!$D$13</definedName>
    <definedName name="COCHILCO" hidden="1">{#N/A,#N/A,TRUE,"Est. de Fact.";#N/A,#N/A,TRUE,"Capitulo 19";#N/A,#N/A,TRUE,"Proyecto P855"}</definedName>
    <definedName name="Code" hidden="1">#REF!</definedName>
    <definedName name="CODE_PREFIX_L3_E">'[3]Package Register'!$AO$217:$AO$325+'[3]Package Register'!$AO$217:$AO$360</definedName>
    <definedName name="CommodityCodes" hidden="1">#REF!</definedName>
    <definedName name="COMPANY_NO">OFFSET('[5]Proj Input'!$B$4,0,0,COUNTA('[5]Proj Input'!$B$4:$B$13),1)</definedName>
    <definedName name="COMPROMISO" hidden="1">{#N/A,#N/A,FALSE,"minas";#N/A,#N/A,FALSE,"Total_OC015";#N/A,#N/A,FALSE,"ADMIN";#N/A,#N/A,FALSE,"PROCES";#N/A,#N/A,FALSE,"civil";#N/A,#N/A,FALSE,"CAÑER";#N/A,#N/A,FALSE,"ELEC";#N/A,#N/A,FALSE,"INSTR";#N/A,#N/A,FALSE,"PDS";#N/A,#N/A,FALSE,"mecan"}</definedName>
    <definedName name="CONSO" hidden="1">{"MO(BASE)",#N/A,FALSE,"MO(BASE)";"MO(BASE)1",#N/A,FALSE,"MO(BASE)";"MO(BASE)2",#N/A,FALSE,"MO(BASE)"}</definedName>
    <definedName name="ContextHelpID" hidden="1">#REF!</definedName>
    <definedName name="COPEF">'[2]CAT - CODE'!$G$1516</definedName>
    <definedName name="Correas" hidden="1">{"desarrollo",#N/A,FALSE,"Cámara Camión";"resumen",#N/A,FALSE,"Cámara Camión";"eqprod",#N/A,FALSE,"Cámara Camión"}</definedName>
    <definedName name="CorrespondingList" localSheetId="1">OFFSET(INDIRECT(ADDRESS(MATCH(Val1Cell,Objects,0)+112,2,,,"PCO")),0,0,COUNTIF(Objects,Val1Cell),1)</definedName>
    <definedName name="CorrespondingList" localSheetId="4">OFFSET(INDIRECT(ADDRESS(MATCH(Val1Cell,Objects,0)+112,2,,,"PCO")),0,0,COUNTIF(Objects,Val1Cell),1)</definedName>
    <definedName name="CorrespondingList">OFFSET(INDIRECT(ADDRESS(MATCH(Val1Cell,Objects,0)+112,2,,,"PCO")),0,0,COUNTIF(Objects,Val1Cell),1)</definedName>
    <definedName name="CorrespondingList2" localSheetId="1">OFFSET(INDIRECT(ADDRESS(MATCH(Val1Cell,Objects,0)+112,2,,,"PCO")),0,0,COUNTIF(Objects,Val1Cell),1)</definedName>
    <definedName name="CorrespondingList2" localSheetId="4">OFFSET(INDIRECT(ADDRESS(MATCH(Val1Cell,Objects,0)+112,2,,,"PCO")),0,0,COUNTIF(Objects,Val1Cell),1)</definedName>
    <definedName name="CorrespondingList2">OFFSET(INDIRECT(ADDRESS(MATCH(Val1Cell,Objects,0)+112,2,,,"PCO")),0,0,COUNTIF(Objects,Val1Cell),1)</definedName>
    <definedName name="CREW_TABLE">[6]INFO!$B$13:$G$60</definedName>
    <definedName name="cub" hidden="1">{#N/A,#N/A,FALSE,"RESUMEN";#N/A,#N/A,FALSE,"GG-GI";#N/A,#N/A,FALSE,"AMB";#N/A,#N/A,FALSE,"EyR";#N/A,#N/A,FALSE,"UCP";#N/A,#N/A,FALSE,"IND";#N/A,#N/A,FALSE,"LR";#N/A,#N/A,FALSE,"PRV";#N/A,#N/A,FALSE,"TÚNELES";#N/A,#N/A,FALSE,"IDT";#N/A,#N/A,FALSE,"ING"}</definedName>
    <definedName name="CURRENCY">[6]INFO!$C$4:$E$10</definedName>
    <definedName name="CURRENCY2">[6]INFO!$C$4:$E$10</definedName>
    <definedName name="CURVA" hidden="1">{#N/A,#N/A,FALSE,"PXP-TOTAL Modif";"vis2",#N/A,FALSE,"PXP-AÑO";"Vis1",#N/A,FALSE,"PXP-AÑO"}</definedName>
    <definedName name="Cwvu.ROLLING._.3._.MONTH._.FCST." hidden="1">#REF!,#REF!</definedName>
    <definedName name="czxx" hidden="1">{#N/A,#N/A,FALSE,"Total_OC015";#N/A,#N/A,FALSE,"ADMIN";#N/A,#N/A,FALSE,"PROCES";#N/A,#N/A,FALSE,"mecan";#N/A,#N/A,FALSE,"civil";#N/A,#N/A,FALSE,"CAÑER";#N/A,#N/A,FALSE,"ELEC";#N/A,#N/A,FALSE,"INSTR"}</definedName>
    <definedName name="D" hidden="1">#REF!</definedName>
    <definedName name="data1" hidden="1">#REF!</definedName>
    <definedName name="data2" hidden="1">#REF!</definedName>
    <definedName name="data3" hidden="1">#REF!</definedName>
    <definedName name="Datos1" hidden="1">{"Sens Table",#N/A,FALSE,"Timing &amp; Assumptions";#N/A,#N/A,FALSE,"Key Data &amp; Results";"Cash Flow",#N/A,FALSE,"Cash Flows";#N/A,#N/A,FALSE,"Table of Contents";"Total Op Expenses Base Case",#N/A,FALSE,"Total Op Costs";"Plant Opex Base Case",#N/A,FALSE,"Plant Operating Expenses";"Mine Opex Base Case",#N/A,FALSE,"Mine Op Costs";"View_Base",#N/A,FALSE,"Labor Summary by Operation";"View_Base",#N/A,FALSE,"Labor by Function";"Cost Base",#N/A,FALSE,"Cost Table";"Book Base",#N/A,FALSE,"Book Depreciation";"Mine Plan Base Case",#N/A,FALSE,"Mine Plan";"Unit Costs",#N/A,FALSE,"Timing &amp; Assumptions"}</definedName>
    <definedName name="DCLABSTOT">24738790</definedName>
    <definedName name="DCLABTOT">27763421</definedName>
    <definedName name="DCMATLCTOT">1233848</definedName>
    <definedName name="DCMATLTOT">11167072</definedName>
    <definedName name="DCPLANTTOT">943544</definedName>
    <definedName name="DCSUBTOT">79212458</definedName>
    <definedName name="DCTOT">119086495</definedName>
    <definedName name="ddd" hidden="1">{"DETALLE_1996",#N/A,FALSE,"flujo";"DETALLE_1997",#N/A,FALSE,"flujo";"GASTOS_INCURRIDOS_1996",#N/A,FALSE,"flujo";"GASTOS_PROGRAMADOS_PARA_1997",#N/A,FALSE,"flujo";#N/A,#N/A,FALSE,"comparat";#N/A,#N/A,FALSE,"costos";#N/A,#N/A,FALSE,"proyctrol"}</definedName>
    <definedName name="dddd" hidden="1">#REF!</definedName>
    <definedName name="dddddd" hidden="1">#REF!</definedName>
    <definedName name="dddsadsa" hidden="1">#REF!</definedName>
    <definedName name="der" hidden="1">{"CI+GG(BASE)",#N/A,FALSE,"CI+GG(BASE)";"GG",#N/A,FALSE,"CI+GG(BASE)";"CI",#N/A,FALSE,"CI+GG(BASE)"}</definedName>
    <definedName name="des" hidden="1">{"DETALLE_1996",#N/A,FALSE,"flujo";"DETALLE_1997",#N/A,FALSE,"flujo";"GASTOS_INCURRIDOS_1996",#N/A,FALSE,"flujo";"GASTOS_PROGRAMADOS_PARA_1997",#N/A,FALSE,"flujo";#N/A,#N/A,FALSE,"comparat";#N/A,#N/A,FALSE,"costos";#N/A,#N/A,FALSE,"proyctrol"}</definedName>
    <definedName name="dfg" hidden="1">{#N/A,#N/A,TRUE,"Est. de Fact.";#N/A,#N/A,TRUE,"Capitulo 19";#N/A,#N/A,TRUE,"Proyecto P855"}</definedName>
    <definedName name="dfgdg">INDIRECT("'"&amp;#REF!&amp;"'!B5:B13")</definedName>
    <definedName name="dg" hidden="1">{#N/A,#N/A,TRUE,"Cover";#N/A,#N/A,TRUE,"Sched 2";#N/A,#N/A,TRUE,"Sched 3";#N/A,#N/A,TRUE,"Sched 4";#N/A,#N/A,TRUE,"Sched 9"}</definedName>
    <definedName name="Diferencias" hidden="1">{#N/A,#N/A,FALSE,"Total_OC015";#N/A,#N/A,FALSE,"ADMIN";#N/A,#N/A,FALSE,"PROCES";#N/A,#N/A,FALSE,"mecan";#N/A,#N/A,FALSE,"civil";#N/A,#N/A,FALSE,"CAÑER";#N/A,#N/A,FALSE,"ELEC";#N/A,#N/A,FALSE,"INSTR"}</definedName>
    <definedName name="Discount" hidden="1">#REF!</definedName>
    <definedName name="display_area_2" hidden="1">#REF!</definedName>
    <definedName name="DIST">'[2]CAT - CODE'!$G$1525</definedName>
    <definedName name="DME_Dirty" hidden="1">"False"</definedName>
    <definedName name="DME_LocalFile" hidden="1">"True"</definedName>
    <definedName name="dotch" hidden="1">{"desarrollo",#N/A,FALSE,"Cámara Camión";"resumen",#N/A,FALSE,"Cámara Camión";"eqprod",#N/A,FALSE,"Cámara Camión"}</definedName>
    <definedName name="dotch4" hidden="1">{"desarrollo",#N/A,FALSE,"Cámara Camión";"resumen",#N/A,FALSE,"Cámara Camión";"eqprod",#N/A,FALSE,"Cámara Camión"}</definedName>
    <definedName name="dse" hidden="1">#REF!</definedName>
    <definedName name="edr" hidden="1">{"DETALLE_1996",#N/A,FALSE,"flujo";"DETALLE_1997",#N/A,FALSE,"flujo";"GASTOS_INCURRIDOS_1996",#N/A,FALSE,"flujo";"GASTOS_PROGRAMADOS_PARA_1997",#N/A,FALSE,"flujo";#N/A,#N/A,FALSE,"comparat";#N/A,#N/A,FALSE,"costos";#N/A,#N/A,FALSE,"proyctrol"}</definedName>
    <definedName name="ee" hidden="1">{#N/A,#N/A,FALSE,"Total_OC015";#N/A,#N/A,FALSE,"ADMIN";#N/A,#N/A,FALSE,"PROCES";#N/A,#N/A,FALSE,"mecan";#N/A,#N/A,FALSE,"civil";#N/A,#N/A,FALSE,"CAÑER";#N/A,#N/A,FALSE,"ELEC";#N/A,#N/A,FALSE,"INSTR"}</definedName>
    <definedName name="eea" hidden="1">{#N/A,#N/A,FALSE,"masez (10)";#N/A,#N/A,FALSE,"masez (7)";#N/A,#N/A,FALSE,"masez (6)";#N/A,#N/A,FALSE,"masez (5)";#N/A,#N/A,FALSE,"masez (4)";#N/A,#N/A,FALSE,"masez (3)";#N/A,#N/A,FALSE,"masez (2)";#N/A,#N/A,FALSE,"GME";#N/A,#N/A,FALSE,"masez"}</definedName>
    <definedName name="eee" hidden="1">{#N/A,#N/A,FALSE,"masez (10)";#N/A,#N/A,FALSE,"masez (7)";#N/A,#N/A,FALSE,"masez (6)";#N/A,#N/A,FALSE,"masez (5)";#N/A,#N/A,FALSE,"masez (4)";#N/A,#N/A,FALSE,"masez (3)";#N/A,#N/A,FALSE,"masez (2)";#N/A,#N/A,FALSE,"GME";#N/A,#N/A,FALSE,"masez"}</definedName>
    <definedName name="efy" hidden="1">{"DETALLE_1996",#N/A,FALSE,"flujo";"DETALLE_1997",#N/A,FALSE,"flujo";"GASTOS_INCURRIDOS_1996",#N/A,FALSE,"flujo";"GASTOS_PROGRAMADOS_PARA_1997",#N/A,FALSE,"flujo";#N/A,#N/A,FALSE,"comparat";#N/A,#N/A,FALSE,"costos";#N/A,#N/A,FALSE,"proyctrol"}</definedName>
    <definedName name="EPCHOURS" hidden="1">{#N/A,#N/A,FALSE,"subcontract"}</definedName>
    <definedName name="eq" hidden="1">{#N/A,#N/A,FALSE,"minas";#N/A,#N/A,FALSE,"Total_OC015";#N/A,#N/A,FALSE,"ADMIN";#N/A,#N/A,FALSE,"PROCES";#N/A,#N/A,FALSE,"civil";#N/A,#N/A,FALSE,"CAÑER";#N/A,#N/A,FALSE,"ELEC";#N/A,#N/A,FALSE,"INSTR";#N/A,#N/A,FALSE,"PDS";#N/A,#N/A,FALSE,"mecan"}</definedName>
    <definedName name="equ" hidden="1">{#N/A,#N/A,TRUE,"Est. de Fact.";#N/A,#N/A,TRUE,"Capitulo 19";#N/A,#N/A,TRUE,"Proyecto P855"}</definedName>
    <definedName name="equi" hidden="1">{#N/A,#N/A,FALSE,"Total_OC015";#N/A,#N/A,FALSE,"ADMIN";#N/A,#N/A,FALSE,"PROCES";#N/A,#N/A,FALSE,"mecan";#N/A,#N/A,FALSE,"civil";#N/A,#N/A,FALSE,"CAÑER";#N/A,#N/A,FALSE,"ELEC";#N/A,#N/A,FALSE,"INSTR"}</definedName>
    <definedName name="equu" hidden="1">{#N/A,#N/A,FALSE,"minas";#N/A,#N/A,FALSE,"Total_OC015";#N/A,#N/A,FALSE,"ADMIN";#N/A,#N/A,FALSE,"PROCES";#N/A,#N/A,FALSE,"civil";#N/A,#N/A,FALSE,"CAÑER";#N/A,#N/A,FALSE,"ELEC";#N/A,#N/A,FALSE,"INSTR";#N/A,#N/A,FALSE,"PDS";#N/A,#N/A,FALSE,"mecan"}</definedName>
    <definedName name="erd" hidden="1">{#N/A,#N/A,FALSE,"IC_Global";#N/A,#N/A,FALSE,"IC_Global (98-f)";#N/A,#N/A,FALSE,"Inc";#N/A,#N/A,FALSE,"CAMBIOS (2)";#N/A,#N/A,FALSE,"EXPL Inc.";#N/A,#N/A,FALSE,"HITOS98";#N/A,#N/A,FALSE,"CURVA ""S"" GLOBAL ";#N/A,#N/A,FALSE,"CURVA ""S"" 1998 "}</definedName>
    <definedName name="error" hidden="1">{#N/A,#N/A,FALSE,"Matrix";#N/A,#N/A,FALSE,"Executive";#N/A,#N/A,FALSE,"Summary"}</definedName>
    <definedName name="error2" hidden="1">{#N/A,#N/A,FALSE,"E-1";#N/A,#N/A,FALSE,"E-2";#N/A,#N/A,FALSE,"F-1";#N/A,#N/A,FALSE,"F-2";#N/A,#N/A,FALSE,"F-3";#N/A,#N/A,FALSE,"F-4";#N/A,#N/A,FALSE,"F-5";#N/A,#N/A,FALSE,"F-6";#N/A,#N/A,FALSE,"Matrix"}</definedName>
    <definedName name="error3" hidden="1">{#N/A,#N/A,FALSE,"Matrix";#N/A,#N/A,FALSE,"Executive";#N/A,#N/A,FALSE,"Summary"}</definedName>
    <definedName name="error4" hidden="1">{"ARA1",#N/A,FALSE,"ENG-ARA";"ARAhours",#N/A,FALSE,"ENG-ARA";"ARA$",#N/A,FALSE,"ENG-ARA"}</definedName>
    <definedName name="error5" hidden="1">{"bechtel1",#N/A,TRUE,"BECHTEL";"bechtelhours",#N/A,TRUE,"BECHTEL";"bechtel$",#N/A,TRUE,"BECHTEL"}</definedName>
    <definedName name="error6" hidden="1">{#N/A,#N/A,FALSE,"Matrix";#N/A,#N/A,FALSE,"Executive";#N/A,#N/A,FALSE,"Summary";#N/A,#N/A,FALSE,"Office1";#N/A,#N/A,FALSE,"Office2";#N/A,#N/A,FALSE,"Office3";#N/A,#N/A,FALSE,"Office4";#N/A,#N/A,FALSE,"Office5";#N/A,#N/A,FALSE,"Office6";#N/A,#N/A,FALSE,"Office7";#N/A,#N/A,FALSE,"Labor"}</definedName>
    <definedName name="ertte" hidden="1">{"DETALLE_1996",#N/A,FALSE,"flujo";"DETALLE_1997",#N/A,FALSE,"flujo";"GASTOS_INCURRIDOS_1996",#N/A,FALSE,"flujo";"GASTOS_PROGRAMADOS_PARA_1997",#N/A,FALSE,"flujo";#N/A,#N/A,FALSE,"comparat";#N/A,#N/A,FALSE,"costos";#N/A,#N/A,FALSE,"proyctrol"}</definedName>
    <definedName name="EU">'[2]CAT - CODE'!$G$1514</definedName>
    <definedName name="EV__LASTREFTIME__">40599.4538888889</definedName>
    <definedName name="Exec_2" hidden="1">{"EXEC",#N/A,TRUE,"Header";"EXEC_1",#N/A,TRUE,"Summary_1"}</definedName>
    <definedName name="ExitStatus" hidden="1">#REF!</definedName>
    <definedName name="EXPFIS" hidden="1">{"DETALLE_1996",#N/A,FALSE,"flujo";"DETALLE_1997",#N/A,FALSE,"flujo";"GASTOS_INCURRIDOS_1996",#N/A,FALSE,"flujo";"GASTOS_PROGRAMADOS_PARA_1997",#N/A,FALSE,"flujo";#N/A,#N/A,FALSE,"comparat";#N/A,#N/A,FALSE,"costos";#N/A,#N/A,FALSE,"proyctrol"}</definedName>
    <definedName name="Expor" hidden="1">#REF!</definedName>
    <definedName name="F" hidden="1">{#N/A,#N/A,FALSE,"Total_OC015";#N/A,#N/A,FALSE,"ADMIN";#N/A,#N/A,FALSE,"PROCES";#N/A,#N/A,FALSE,"mecan";#N/A,#N/A,FALSE,"civil";#N/A,#N/A,FALSE,"CAÑER";#N/A,#N/A,FALSE,"ELEC";#N/A,#N/A,FALSE,"INSTR"}</definedName>
    <definedName name="FCode" hidden="1">#REF!</definedName>
    <definedName name="fd" hidden="1">{#N/A,#N/A,FALSE,"Equipment List"}</definedName>
    <definedName name="fdvf" hidden="1">{"DETALLE_1996",#N/A,FALSE,"flujo";"DETALLE_1997",#N/A,FALSE,"flujo";"GASTOS_INCURRIDOS_1996",#N/A,FALSE,"flujo";"GASTOS_PROGRAMADOS_PARA_1997",#N/A,FALSE,"flujo";#N/A,#N/A,FALSE,"comparat";#N/A,#N/A,FALSE,"costos";#N/A,#N/A,FALSE,"proyctrol"}</definedName>
    <definedName name="fert" hidden="1">{"DETALLE_1996",#N/A,FALSE,"flujo";"DETALLE_1997",#N/A,FALSE,"flujo";"GASTOS_INCURRIDOS_1996",#N/A,FALSE,"flujo";"GASTOS_PROGRAMADOS_PARA_1997",#N/A,FALSE,"flujo";#N/A,#N/A,FALSE,"comparat";#N/A,#N/A,FALSE,"costos";#N/A,#N/A,FALSE,"proyctrol"}</definedName>
    <definedName name="fes" hidden="1">{#N/A,#N/A,FALSE,"minas";#N/A,#N/A,FALSE,"Total_OC015";#N/A,#N/A,FALSE,"ADMIN";#N/A,#N/A,FALSE,"PROCES";#N/A,#N/A,FALSE,"civil";#N/A,#N/A,FALSE,"CAÑER";#N/A,#N/A,FALSE,"ELEC";#N/A,#N/A,FALSE,"INSTR";#N/A,#N/A,FALSE,"PDS";#N/A,#N/A,FALSE,"mecan"}</definedName>
    <definedName name="few" hidden="1">{"DETALLE_1996",#N/A,FALSE,"flujo";"DETALLE_1997",#N/A,FALSE,"flujo";"GASTOS_INCURRIDOS_1996",#N/A,FALSE,"flujo";"GASTOS_PROGRAMADOS_PARA_1997",#N/A,FALSE,"flujo";#N/A,#N/A,FALSE,"comparat";#N/A,#N/A,FALSE,"costos";#N/A,#N/A,FALSE,"proyctrol"}</definedName>
    <definedName name="ffeer" hidden="1">{#N/A,#N/A,TRUE,"Est. de Fact.";#N/A,#N/A,TRUE,"Capitulo 19";#N/A,#N/A,TRUE,"Proyecto P855"}</definedName>
    <definedName name="fff" hidden="1">{#N/A,#N/A,FALSE,"Total_OC015";#N/A,#N/A,FALSE,"ADMIN";#N/A,#N/A,FALSE,"PROCES";#N/A,#N/A,FALSE,"mecan";#N/A,#N/A,FALSE,"civil";#N/A,#N/A,FALSE,"CAÑER";#N/A,#N/A,FALSE,"ELEC";#N/A,#N/A,FALSE,"INSTR"}</definedName>
    <definedName name="fgch" hidden="1">{#N/A,#N/A,FALSE,"masez (10)";#N/A,#N/A,FALSE,"masez (7)";#N/A,#N/A,FALSE,"masez (6)";#N/A,#N/A,FALSE,"masez (5)";#N/A,#N/A,FALSE,"masez (4)";#N/A,#N/A,FALSE,"masez (3)";#N/A,#N/A,FALSE,"masez (2)";#N/A,#N/A,FALSE,"GME";#N/A,#N/A,FALSE,"masez"}</definedName>
    <definedName name="fghf" hidden="1">{"DETALLE_1996",#N/A,FALSE,"flujo";"DETALLE_1997",#N/A,FALSE,"flujo";"GASTOS_INCURRIDOS_1996",#N/A,FALSE,"flujo";"GASTOS_PROGRAMADOS_PARA_1997",#N/A,FALSE,"flujo";#N/A,#N/A,FALSE,"comparat";#N/A,#N/A,FALSE,"costos";#N/A,#N/A,FALSE,"proyctrol"}</definedName>
    <definedName name="fgr" hidden="1">{#N/A,#N/A,FALSE,"Total_OC015";#N/A,#N/A,FALSE,"ADMIN";#N/A,#N/A,FALSE,"PROCES";#N/A,#N/A,FALSE,"mecan";#N/A,#N/A,FALSE,"civil";#N/A,#N/A,FALSE,"CAÑER";#N/A,#N/A,FALSE,"ELEC";#N/A,#N/A,FALSE,"INSTR"}</definedName>
    <definedName name="FHSFJKSG" hidden="1">{#N/A,#N/A,FALSE,"RESUMEN";#N/A,#N/A,FALSE,"GG-GI";#N/A,#N/A,FALSE,"AMB";#N/A,#N/A,FALSE,"EyR";#N/A,#N/A,FALSE,"UCP";#N/A,#N/A,FALSE,"IND";#N/A,#N/A,FALSE,"LR";#N/A,#N/A,FALSE,"PRV";#N/A,#N/A,FALSE,"TÚNELES";#N/A,#N/A,FALSE,"IDT";#N/A,#N/A,FALSE,"ING"}</definedName>
    <definedName name="fill" hidden="1">#REF!</definedName>
    <definedName name="FILLED" hidden="1">#REF!</definedName>
    <definedName name="FR" hidden="1">{"DETALLE_1996",#N/A,FALSE,"flujo";"DETALLE_1997",#N/A,FALSE,"flujo";"GASTOS_INCURRIDOS_1996",#N/A,FALSE,"flujo";"GASTOS_PROGRAMADOS_PARA_1997",#N/A,FALSE,"flujo";#N/A,#N/A,FALSE,"comparat";#N/A,#N/A,FALSE,"costos";#N/A,#N/A,FALSE,"proyctrol"}</definedName>
    <definedName name="Frame">'[7]Structural Steel Qty'!$T$28:$T$151</definedName>
    <definedName name="FSF" hidden="1">{#N/A,#N/A,FALSE,"masez (10)";#N/A,#N/A,FALSE,"masez (7)";#N/A,#N/A,FALSE,"masez (6)";#N/A,#N/A,FALSE,"masez (5)";#N/A,#N/A,FALSE,"masez (4)";#N/A,#N/A,FALSE,"masez (3)";#N/A,#N/A,FALSE,"masez (2)";#N/A,#N/A,FALSE,"GME";#N/A,#N/A,FALSE,"masez"}</definedName>
    <definedName name="Funding_Status">'[3]Budget Tracker'!$S$6:$S$116</definedName>
    <definedName name="G" hidden="1">{#N/A,#N/A,FALSE,"minas";#N/A,#N/A,FALSE,"Total_OC015";#N/A,#N/A,FALSE,"ADMIN";#N/A,#N/A,FALSE,"PROCES";#N/A,#N/A,FALSE,"civil";#N/A,#N/A,FALSE,"CAÑER";#N/A,#N/A,FALSE,"ELEC";#N/A,#N/A,FALSE,"INSTR";#N/A,#N/A,FALSE,"PDS";#N/A,#N/A,FALSE,"mecan"}</definedName>
    <definedName name="Gastón" hidden="1">{"CI+GG(BASE)",#N/A,FALSE,"CI+GG(BASE)";"GG",#N/A,FALSE,"CI+GG(BASE)";"CI",#N/A,FALSE,"CI+GG(BASE)"}</definedName>
    <definedName name="GASTÓN1" hidden="1">{"CI+GG(BASE)",#N/A,FALSE,"CI+GG(BASE)";"GG",#N/A,FALSE,"CI+GG(BASE)";"CI",#N/A,FALSE,"CI+GG(BASE)"}</definedName>
    <definedName name="gente" hidden="1">{"FlujoGastos",#N/A,FALSE,"Base";"FlujoGastos",#N/A,FALSE,"Buzón Tren";"FlujoGastos",#N/A,FALSE,"Buzón Camión";"FlujoGastos",#N/A,FALSE,"LHD Camión";"FlujoGastos",#N/A,FALSE,"Cámara Camión"}</definedName>
    <definedName name="gentio"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gerente" hidden="1">{"desarrollo",#N/A,FALSE,"Cámara Camión";"resumen",#N/A,FALSE,"Cámara Camión";"eqprod",#N/A,FALSE,"Cámara Camión"}</definedName>
    <definedName name="gg" hidden="1">{#N/A,#N/A,FALSE,"Total_OC015";#N/A,#N/A,FALSE,"ADMIN";#N/A,#N/A,FALSE,"PROCES";#N/A,#N/A,FALSE,"mecan";#N/A,#N/A,FALSE,"civil";#N/A,#N/A,FALSE,"CAÑER";#N/A,#N/A,FALSE,"ELEC";#N/A,#N/A,FALSE,"INSTR"}</definedName>
    <definedName name="ggg" hidden="1">{"DETALLE_1996",#N/A,FALSE,"flujo";"DETALLE_1997",#N/A,FALSE,"flujo";"GASTOS_INCURRIDOS_1996",#N/A,FALSE,"flujo";"GASTOS_PROGRAMADOS_PARA_1997",#N/A,FALSE,"flujo";#N/A,#N/A,FALSE,"comparat";#N/A,#N/A,FALSE,"costos";#N/A,#N/A,FALSE,"proyctrol"}</definedName>
    <definedName name="GJLHÑÑGHK" hidden="1">{#N/A,#N/A,FALSE,"masez (10)";#N/A,#N/A,FALSE,"masez (7)";#N/A,#N/A,FALSE,"masez (6)";#N/A,#N/A,FALSE,"masez (5)";#N/A,#N/A,FALSE,"masez (4)";#N/A,#N/A,FALSE,"masez (3)";#N/A,#N/A,FALSE,"masez (2)";#N/A,#N/A,FALSE,"GME";#N/A,#N/A,FALSE,"masez"}</definedName>
    <definedName name="gmd" hidden="1">{#N/A,#N/A,FALSE,"Matrix";#N/A,#N/A,FALSE,"Executive";#N/A,#N/A,FALSE,"Summary"}</definedName>
    <definedName name="gre" hidden="1">{"DETALLE_1996",#N/A,FALSE,"flujo";"DETALLE_1997",#N/A,FALSE,"flujo";"GASTOS_INCURRIDOS_1996",#N/A,FALSE,"flujo";"GASTOS_PROGRAMADOS_PARA_1997",#N/A,FALSE,"flujo";#N/A,#N/A,FALSE,"comparat";#N/A,#N/A,FALSE,"costos";#N/A,#N/A,FALSE,"proyctrol"}</definedName>
    <definedName name="gt" hidden="1">{#N/A,#N/A,FALSE,"Equipment List"}</definedName>
    <definedName name="Handrail">'[7]Structural Steel Qty'!$T$2:$T$27</definedName>
    <definedName name="hh" hidden="1">{#N/A,#N/A,FALSE,"minas";#N/A,#N/A,FALSE,"Total_OC015";#N/A,#N/A,FALSE,"ADMIN";#N/A,#N/A,FALSE,"PROCES";#N/A,#N/A,FALSE,"civil";#N/A,#N/A,FALSE,"CAÑER";#N/A,#N/A,FALSE,"ELEC";#N/A,#N/A,FALSE,"INSTR";#N/A,#N/A,FALSE,"PDS";#N/A,#N/A,FALSE,"mecan"}</definedName>
    <definedName name="hhh" hidden="1">{"DETALLE_1996",#N/A,FALSE,"flujo";"DETALLE_1997",#N/A,FALSE,"flujo";"GASTOS_INCURRIDOS_1996",#N/A,FALSE,"flujo";"GASTOS_PROGRAMADOS_PARA_1997",#N/A,FALSE,"flujo";#N/A,#N/A,FALSE,"comparat";#N/A,#N/A,FALSE,"costos";#N/A,#N/A,FALSE,"proyctrol"}</definedName>
    <definedName name="HiddenRows" hidden="1">#REF!</definedName>
    <definedName name="HOJA" hidden="1">{#N/A,#N/A,FALSE,"minas";#N/A,#N/A,FALSE,"Total_OC015";#N/A,#N/A,FALSE,"ADMIN";#N/A,#N/A,FALSE,"PROCES";#N/A,#N/A,FALSE,"civil";#N/A,#N/A,FALSE,"CAÑER";#N/A,#N/A,FALSE,"ELEC";#N/A,#N/A,FALSE,"INSTR";#N/A,#N/A,FALSE,"PDS";#N/A,#N/A,FALSE,"mecan"}</definedName>
    <definedName name="HOJITA" hidden="1">{"cuadro1",#N/A,FALSE,"Buzon Camion Opción 3";"cuadro2",#N/A,FALSE,"Buzon Camion Opción 3";"cuadro3",#N/A,FALSE,"Buzon Camion Opción 3";"cuadro4",#N/A,FALSE,"Buzon Camion Opción 3"}</definedName>
    <definedName name="horizon"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horozon" hidden="1">{"desarrollo",#N/A,FALSE,"LHD Camión";"eqdllo",#N/A,FALSE,"LHD Camión";"eqprod",#N/A,FALSE,"LHD Camión";"Resumen",#N/A,FALSE,"LHD Camión"}</definedName>
    <definedName name="HTML_CodePage" hidden="1">863</definedName>
    <definedName name="HTML_Control" hidden="1">{"'resumen REV 3'!$B$1:$Q$69"}</definedName>
    <definedName name="HTML_Description" hidden="1">"jklyi.c m"</definedName>
    <definedName name="HTML_Email" hidden="1">""</definedName>
    <definedName name="HTML_Header" hidden="1">"mndghm"</definedName>
    <definedName name="HTML_LastUpdate" hidden="1">"02/05/2002"</definedName>
    <definedName name="HTML_LineAfter" hidden="1">FALSE</definedName>
    <definedName name="HTML_LineBefore" hidden="1">FALSE</definedName>
    <definedName name="HTML_Name" hidden="1">""</definedName>
    <definedName name="HTML_OBDlg2" hidden="1">TRUE</definedName>
    <definedName name="HTML_OBDlg3" hidden="1">TRUE</definedName>
    <definedName name="HTML_OBDlg4" hidden="1">TRUE</definedName>
    <definedName name="HTML_OS" hidden="1">0</definedName>
    <definedName name="HTML_PathFile" hidden="1">"D:\Datos\Datos\PROGRAMA PRODUCCION\2002\CUMP PROG PROD 2002\HTML\HTML.htm"</definedName>
    <definedName name="HTML_PathTemplate" hidden="1">"C:\Program Files\Content\81074\EquipmentList.htm"</definedName>
    <definedName name="HTML_Title" hidden="1">"rtjkmm"</definedName>
    <definedName name="htr" hidden="1">{#N/A,#N/A,FALSE,"Total_OC015";#N/A,#N/A,FALSE,"ADMIN";#N/A,#N/A,FALSE,"PROCES";#N/A,#N/A,FALSE,"mecan";#N/A,#N/A,FALSE,"civil";#N/A,#N/A,FALSE,"CAÑER";#N/A,#N/A,FALSE,"ELEC";#N/A,#N/A,FALSE,"INSTR"}</definedName>
    <definedName name="htyh" hidden="1">{"DETALLE_1996",#N/A,FALSE,"flujo";"DETALLE_1997",#N/A,FALSE,"flujo";"GASTOS_INCURRIDOS_1996",#N/A,FALSE,"flujo";"GASTOS_PROGRAMADOS_PARA_1997",#N/A,FALSE,"flujo";#N/A,#N/A,FALSE,"comparat";#N/A,#N/A,FALSE,"costos";#N/A,#N/A,FALSE,"proyctrol"}</definedName>
    <definedName name="hyttr" hidden="1">{"DETALLE_1996",#N/A,FALSE,"flujo";"DETALLE_1997",#N/A,FALSE,"flujo";"GASTOS_INCURRIDOS_1996",#N/A,FALSE,"flujo";"GASTOS_PROGRAMADOS_PARA_1997",#N/A,FALSE,"flujo";#N/A,#N/A,FALSE,"comparat";#N/A,#N/A,FALSE,"costos";#N/A,#N/A,FALSE,"proyctrol"}</definedName>
    <definedName name="i" hidden="1">{"DETALLE_1996",#N/A,FALSE,"flujo";"DETALLE_1997",#N/A,FALSE,"flujo";"GASTOS_INCURRIDOS_1996",#N/A,FALSE,"flujo";"GASTOS_PROGRAMADOS_PARA_1997",#N/A,FALSE,"flujo";#N/A,#N/A,FALSE,"comparat";#N/A,#N/A,FALSE,"costos";#N/A,#N/A,FALSE,"proyctrol"}</definedName>
    <definedName name="ib" hidden="1">{#N/A,#N/A,FALSE,"Equipment List"}</definedName>
    <definedName name="IGLE" hidden="1">#REF!</definedName>
    <definedName name="ihtr" hidden="1">{#N/A,#N/A,FALSE,"masez (10)";#N/A,#N/A,FALSE,"masez (7)";#N/A,#N/A,FALSE,"masez (6)";#N/A,#N/A,FALSE,"masez (5)";#N/A,#N/A,FALSE,"masez (4)";#N/A,#N/A,FALSE,"masez (3)";#N/A,#N/A,FALSE,"masez (2)";#N/A,#N/A,FALSE,"GME";#N/A,#N/A,FALSE,"masez"}</definedName>
    <definedName name="ii" hidden="1">{#N/A,#N/A,TRUE,"Est. de Fact.";#N/A,#N/A,TRUE,"Capitulo 19";#N/A,#N/A,TRUE,"Proyecto P855"}</definedName>
    <definedName name="INC" hidden="1">{#N/A,#N/A,TRUE,"Est. de Fact.";#N/A,#N/A,TRUE,"Capitulo 19";#N/A,#N/A,TRUE,"Proyecto P855"}</definedName>
    <definedName name="INCU" hidden="1">{"DETALLE_1996",#N/A,FALSE,"flujo";"DETALLE_1997",#N/A,FALSE,"flujo";"GASTOS_INCURRIDOS_1996",#N/A,FALSE,"flujo";"GASTOS_PROGRAMADOS_PARA_1997",#N/A,FALSE,"flujo";#N/A,#N/A,FALSE,"comparat";#N/A,#N/A,FALSE,"costos";#N/A,#N/A,FALSE,"proyctrol"}</definedName>
    <definedName name="Ing" hidden="1">{#N/A,#N/A,FALSE,"Total_OC015";#N/A,#N/A,FALSE,"ADMIN";#N/A,#N/A,FALSE,"PROCES";#N/A,#N/A,FALSE,"mecan";#N/A,#N/A,FALSE,"civil";#N/A,#N/A,FALSE,"CAÑER";#N/A,#N/A,FALSE,"ELEC";#N/A,#N/A,FALSE,"INSTR"}</definedName>
    <definedName name="j" hidden="1">{#N/A,#N/A,FALSE,"Total_OC015";#N/A,#N/A,FALSE,"ADMIN";#N/A,#N/A,FALSE,"PROCES";#N/A,#N/A,FALSE,"mecan";#N/A,#N/A,FALSE,"civil";#N/A,#N/A,FALSE,"CAÑER";#N/A,#N/A,FALSE,"ELEC";#N/A,#N/A,FALSE,"INSTR"}</definedName>
    <definedName name="jjj" hidden="1">{#N/A,#N/A,FALSE,"Total_OC015";#N/A,#N/A,FALSE,"ADMIN";#N/A,#N/A,FALSE,"PROCES";#N/A,#N/A,FALSE,"mecan";#N/A,#N/A,FALSE,"civil";#N/A,#N/A,FALSE,"CAÑER";#N/A,#N/A,FALSE,"ELEC";#N/A,#N/A,FALSE,"INSTR"}</definedName>
    <definedName name="jrtr" hidden="1">{#N/A,#N/A,FALSE,"masez (10)";#N/A,#N/A,FALSE,"masez (7)";#N/A,#N/A,FALSE,"masez (6)";#N/A,#N/A,FALSE,"masez (5)";#N/A,#N/A,FALSE,"masez (4)";#N/A,#N/A,FALSE,"masez (3)";#N/A,#N/A,FALSE,"masez (2)";#N/A,#N/A,FALSE,"GME";#N/A,#N/A,FALSE,"masez"}</definedName>
    <definedName name="jttyj" hidden="1">{#N/A,#N/A,FALSE,"Total_OC015";#N/A,#N/A,FALSE,"ADMIN";#N/A,#N/A,FALSE,"PROCES";#N/A,#N/A,FALSE,"mecan";#N/A,#N/A,FALSE,"civil";#N/A,#N/A,FALSE,"CAÑER";#N/A,#N/A,FALSE,"ELEC";#N/A,#N/A,FALSE,"INSTR"}</definedName>
    <definedName name="JUANITO" hidden="1">{"Sens Table",#N/A,FALSE,"Timing &amp; Assumptions";#N/A,#N/A,FALSE,"Key Data &amp; Results";"Cash Flow",#N/A,FALSE,"Cash Flows";#N/A,#N/A,FALSE,"Table of Contents";"Total Op Expenses Base Case",#N/A,FALSE,"Total Op Costs";"Plant Opex Base Case",#N/A,FALSE,"Plant Operating Expenses";"Mine Opex Base Case",#N/A,FALSE,"Mine Op Costs";"View_Base",#N/A,FALSE,"Labor Summary by Operation";"View_Base",#N/A,FALSE,"Labor by Function";"Cost Base",#N/A,FALSE,"Cost Table";"Book Base",#N/A,FALSE,"Book Depreciation";"Mine Plan Base Case",#N/A,FALSE,"Mine Plan";"Unit Costs",#N/A,FALSE,"Timing &amp; Assumptions"}</definedName>
    <definedName name="JUANITO1" hidden="1">{"Sens Table",#N/A,FALSE,"Timing &amp; Assumptions";#N/A,#N/A,FALSE,"Key Data &amp; Results";"Cash Flow",#N/A,FALSE,"Cash Flows";#N/A,#N/A,FALSE,"Table of Contents";"Total Op Expenses Base Case",#N/A,FALSE,"Total Op Costs";"Plant Opex Base Case",#N/A,FALSE,"Plant Operating Expenses";"Mine Opex Base Case",#N/A,FALSE,"Mine Op Costs";"View_Base",#N/A,FALSE,"Labor Summary by Operation";"View_Base",#N/A,FALSE,"Labor by Function";"Cost Base",#N/A,FALSE,"Cost Table";"Book Base",#N/A,FALSE,"Book Depreciation";"Mine Plan Base Case",#N/A,FALSE,"Mine Plan";"Unit Costs",#N/A,FALSE,"Timing &amp; Assumptions"}</definedName>
    <definedName name="juh" hidden="1">{"DETALLE_1996",#N/A,FALSE,"flujo";"DETALLE_1997",#N/A,FALSE,"flujo";"GASTOS_INCURRIDOS_1996",#N/A,FALSE,"flujo";"GASTOS_PROGRAMADOS_PARA_1997",#N/A,FALSE,"flujo";#N/A,#N/A,FALSE,"comparat";#N/A,#N/A,FALSE,"costos";#N/A,#N/A,FALSE,"proyctrol"}</definedName>
    <definedName name="jun" hidden="1">{"DETALLE_1996",#N/A,FALSE,"flujo";"DETALLE_1997",#N/A,FALSE,"flujo";"GASTOS_INCURRIDOS_1996",#N/A,FALSE,"flujo";"GASTOS_PROGRAMADOS_PARA_1997",#N/A,FALSE,"flujo";#N/A,#N/A,FALSE,"comparat";#N/A,#N/A,FALSE,"costos";#N/A,#N/A,FALSE,"proyctrol"}</definedName>
    <definedName name="JUPOX" hidden="1">{#N/A,#N/A,FALSE,"masez (10)";#N/A,#N/A,FALSE,"masez (7)";#N/A,#N/A,FALSE,"masez (6)";#N/A,#N/A,FALSE,"masez (5)";#N/A,#N/A,FALSE,"masez (4)";#N/A,#N/A,FALSE,"masez (3)";#N/A,#N/A,FALSE,"masez (2)";#N/A,#N/A,FALSE,"GME";#N/A,#N/A,FALSE,"masez"}</definedName>
    <definedName name="kk"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kli" hidden="1">{"DETALLE_1996",#N/A,FALSE,"flujo";"DETALLE_1997",#N/A,FALSE,"flujo";"GASTOS_INCURRIDOS_1996",#N/A,FALSE,"flujo";"GASTOS_PROGRAMADOS_PARA_1997",#N/A,FALSE,"flujo";#N/A,#N/A,FALSE,"comparat";#N/A,#N/A,FALSE,"costos";#N/A,#N/A,FALSE,"proyctrol"}</definedName>
    <definedName name="Last_Row" localSheetId="1">IF(Values_Entered,Header_Row+'Document Control '!Number_of_Payments,Header_Row)</definedName>
    <definedName name="Last_Row" localSheetId="4">IF(Values_Entered,Header_Row+'Requirements Formulas'!Number_of_Payments,Header_Row)</definedName>
    <definedName name="Last_Row">IF(Values_Entered,Header_Row+[0]!Number_of_Payments,Header_Row)</definedName>
    <definedName name="last_row2" localSheetId="1">IF(Values_Entered,Header_Row+'Document Control '!Number_of_Payments,Header_Row)</definedName>
    <definedName name="last_row2" localSheetId="4">IF(Values_Entered,Header_Row+'Requirements Formulas'!Number_of_Payments,Header_Row)</definedName>
    <definedName name="last_row2">IF(Values_Entered,Header_Row+[0]!Number_of_Payments,Header_Row)</definedName>
    <definedName name="LEY" hidden="1">{"Leyes",#N/A,FALSE,"Report_Día"}</definedName>
    <definedName name="LH" hidden="1">{#N/A,#N/A,FALSE,"Total_OC015";#N/A,#N/A,FALSE,"ADMIN";#N/A,#N/A,FALSE,"PROCES";#N/A,#N/A,FALSE,"mecan";#N/A,#N/A,FALSE,"civil";#N/A,#N/A,FALSE,"CAÑER";#N/A,#N/A,FALSE,"ELEC";#N/A,#N/A,FALSE,"INSTR"}</definedName>
    <definedName name="Ligth">'[7]Structural Steel Qty'!$T$28:$T$29</definedName>
    <definedName name="limcount" hidden="1">1</definedName>
    <definedName name="Limnbarren_makeupRange" hidden="1">#REF!</definedName>
    <definedName name="Limnbarren_solnRange" hidden="1">#REF!</definedName>
    <definedName name="Limndust_suppRange" hidden="1">#REF!</definedName>
    <definedName name="LimnFFFFRange" hidden="1">#REF!</definedName>
    <definedName name="Limninter_makeupRange" hidden="1">#REF!</definedName>
    <definedName name="Limninter_precipRange" hidden="1">#REF!</definedName>
    <definedName name="Limnlime_addRange" hidden="1">#REF!</definedName>
    <definedName name="LimnPPP1Range" hidden="1">#REF!</definedName>
    <definedName name="LimnPPP2Range" hidden="1">#REF!</definedName>
    <definedName name="LimnPPP3Range" hidden="1">#REF!</definedName>
    <definedName name="LimnPPP4Range" hidden="1">#REF!</definedName>
    <definedName name="LimnPPP5Range" hidden="1">#REF!</definedName>
    <definedName name="Limnpreg_precipRange" hidden="1">#REF!</definedName>
    <definedName name="LimnRomRange" hidden="1">#REF!</definedName>
    <definedName name="Limnspent_solnRange" hidden="1">#REF!</definedName>
    <definedName name="LineBr">CHAR(10)</definedName>
    <definedName name="lio" hidden="1">{#N/A,#N/A,FALSE,"Total_OC015";#N/A,#N/A,FALSE,"ADMIN";#N/A,#N/A,FALSE,"PROCES";#N/A,#N/A,FALSE,"mecan";#N/A,#N/A,FALSE,"civil";#N/A,#N/A,FALSE,"CAÑER";#N/A,#N/A,FALSE,"ELEC";#N/A,#N/A,FALSE,"INSTR"}</definedName>
    <definedName name="listBase" hidden="1">#REF!</definedName>
    <definedName name="ListSize" hidden="1">#REF!</definedName>
    <definedName name="lk" hidden="1">{#N/A,#N/A,FALSE,"Total_OC015";#N/A,#N/A,FALSE,"ADMIN";#N/A,#N/A,FALSE,"PROCES";#N/A,#N/A,FALSE,"mecan";#N/A,#N/A,FALSE,"civil";#N/A,#N/A,FALSE,"CAÑER";#N/A,#N/A,FALSE,"ELEC";#N/A,#N/A,FALSE,"INSTR"}</definedName>
    <definedName name="ll" hidden="1">{"Sens Table",#N/A,FALSE,"Timing &amp; Assumptions";#N/A,#N/A,FALSE,"Key Data &amp; Results";"Cash Flow",#N/A,FALSE,"Cash Flows";#N/A,#N/A,FALSE,"Table of Contents";"Total Op Expenses Base Case",#N/A,FALSE,"Total Op Costs";"Plant Opex Base Case",#N/A,FALSE,"Plant Operating Expenses";"Mine Opex Base Case",#N/A,FALSE,"Mine Op Costs";"View_Base",#N/A,FALSE,"Labor Summary by Operation";"View_Base",#N/A,FALSE,"Labor by Function";"Cost Base",#N/A,FALSE,"Cost Table";"Book Base",#N/A,FALSE,"Book Depreciation";"Mine Plan Base Case",#N/A,FALSE,"Mine Plan";"Unit Costs",#N/A,FALSE,"Timing &amp; Assumptions"}</definedName>
    <definedName name="LLL" hidden="1">{#N/A,#N/A,FALSE,"Total_OC015";#N/A,#N/A,FALSE,"ADMIN";#N/A,#N/A,FALSE,"PROCES";#N/A,#N/A,FALSE,"mecan";#N/A,#N/A,FALSE,"civil";#N/A,#N/A,FALSE,"CAÑER";#N/A,#N/A,FALSE,"ELEC";#N/A,#N/A,FALSE,"INSTR"}</definedName>
    <definedName name="LOCATION">'[1]Load Sheet'!$D$8</definedName>
    <definedName name="loiu" hidden="1">{#N/A,#N/A,TRUE,"Est. de Fact.";#N/A,#N/A,TRUE,"Capitulo 19";#N/A,#N/A,TRUE,"Proyecto P855"}</definedName>
    <definedName name="lots" hidden="1">{#N/A,#N/A,FALSE,"Total_OC015";#N/A,#N/A,FALSE,"ADMIN";#N/A,#N/A,FALSE,"PROCES";#N/A,#N/A,FALSE,"mecan";#N/A,#N/A,FALSE,"civil";#N/A,#N/A,FALSE,"CAÑER";#N/A,#N/A,FALSE,"ELEC";#N/A,#N/A,FALSE,"INSTR"}</definedName>
    <definedName name="lu" hidden="1">{#N/A,#N/A,FALSE,"subcontract"}</definedName>
    <definedName name="m" hidden="1">{#N/A,#N/A,FALSE,"Total_OC015";#N/A,#N/A,FALSE,"ADMIN";#N/A,#N/A,FALSE,"PROCES";#N/A,#N/A,FALSE,"mecan";#N/A,#N/A,FALSE,"civil";#N/A,#N/A,FALSE,"CAÑER";#N/A,#N/A,FALSE,"ELEC";#N/A,#N/A,FALSE,"INSTR"}</definedName>
    <definedName name="Mainline_Multi">'[4]Option 2.1A'!$G$25,'[4]Option 2.1A'!$G$27</definedName>
    <definedName name="Mainline_On_Track">'[4]Option 2.1A'!$N$76,'[4]Option 2.1A'!$N$79,'[4]Option 2.1A'!$N$80,'[4]Option 2.1A'!$N$81,'[4]Option 2.1A'!$N$82,'[4]Option 2.1A'!#REF!,'[4]Option 2.1A'!$N$83,'[4]Option 2.1A'!$N$84,'[4]Option 2.1A'!$N$85,'[4]Option 2.1A'!$N$86,'[4]Option 2.1A'!$N$87,'[4]Option 2.1A'!$N$88</definedName>
    <definedName name="Mainline_Procurment">'[4]Option 2.1A'!$N$53:$N$72</definedName>
    <definedName name="Mainline_Single">'[4]Option 2.1A'!$G$24,'[4]Option 2.1A'!$G$26</definedName>
    <definedName name="Maquinaria" hidden="1">{"MO(BASE)",#N/A,FALSE,"MO(BASE)";"MO(BASE)1",#N/A,FALSE,"MO(BASE)";"MO(BASE)2",#N/A,FALSE,"MO(BASE)"}</definedName>
    <definedName name="marciata" hidden="1">{#N/A,#N/A,FALSE,"minas";#N/A,#N/A,FALSE,"Total_OC015";#N/A,#N/A,FALSE,"ADMIN";#N/A,#N/A,FALSE,"PROCES";#N/A,#N/A,FALSE,"civil";#N/A,#N/A,FALSE,"CAÑER";#N/A,#N/A,FALSE,"ELEC";#N/A,#N/A,FALSE,"INSTR";#N/A,#N/A,FALSE,"PDS";#N/A,#N/A,FALSE,"mecan"}</definedName>
    <definedName name="Markup">8%</definedName>
    <definedName name="MatlSum_Category">'[8]Material Summary'!$C$4:$C$137</definedName>
    <definedName name="MB" hidden="1">{#N/A,#N/A,FALSE,"PXP-TOTAL Modif";"vis2",#N/A,FALSE,"PXP-AÑO";"Vis1",#N/A,FALSE,"PXP-AÑO"}</definedName>
    <definedName name="mechanical" hidden="1">#REF!</definedName>
    <definedName name="Medium">'[7]Structural Steel Qty'!$T$30</definedName>
    <definedName name="MEPEF">'[2]CAT - CODE'!$G$1519</definedName>
    <definedName name="MineBaseSalaries">INDIRECT("'"&amp;#REF!&amp;"'!B5:B13")</definedName>
    <definedName name="MineCashes">INDIRECT("'"&amp;#REF!&amp;"'!D5:D13")</definedName>
    <definedName name="MineJobTypes">INDIRECT("'"&amp;#REF!&amp;"'!A5:A13")</definedName>
    <definedName name="MineSupers">INDIRECT("'"&amp;#REF!&amp;"'!E5:E13")</definedName>
    <definedName name="MineVehicles">INDIRECT("'"&amp;#REF!&amp;"'!C5:C13")</definedName>
    <definedName name="mm"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mmm" hidden="1">{#N/A,#N/A,TRUE,"Est. de Fact.";#N/A,#N/A,TRUE,"Capitulo 19";#N/A,#N/A,TRUE,"Proyecto P855"}</definedName>
    <definedName name="monte"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n" hidden="1">{"DETALLE_1996",#N/A,FALSE,"flujo";"DETALLE_1997",#N/A,FALSE,"flujo";"GASTOS_INCURRIDOS_1996",#N/A,FALSE,"flujo";"GASTOS_PROGRAMADOS_PARA_1997",#N/A,FALSE,"flujo";#N/A,#N/A,FALSE,"comparat";#N/A,#N/A,FALSE,"costos";#N/A,#N/A,FALSE,"proyctrol"}</definedName>
    <definedName name="na" hidden="1">{"EXEC",#N/A,FALSE,"Header";"EXEC_4",#N/A,FALSE,"Summary_4"}</definedName>
    <definedName name="nbsp">CHAR(160)</definedName>
    <definedName name="ncv" hidden="1">{#N/A,#N/A,FALSE,"minas";#N/A,#N/A,FALSE,"Total_OC015";#N/A,#N/A,FALSE,"ADMIN";#N/A,#N/A,FALSE,"PROCES";#N/A,#N/A,FALSE,"civil";#N/A,#N/A,FALSE,"CAÑER";#N/A,#N/A,FALSE,"ELEC";#N/A,#N/A,FALSE,"INSTR";#N/A,#N/A,FALSE,"PDS";#N/A,#N/A,FALSE,"mecan"}</definedName>
    <definedName name="nm" hidden="1">{#N/A,#N/A,FALSE,"minas";#N/A,#N/A,FALSE,"Total_OC015";#N/A,#N/A,FALSE,"ADMIN";#N/A,#N/A,FALSE,"PROCES";#N/A,#N/A,FALSE,"civil";#N/A,#N/A,FALSE,"CAÑER";#N/A,#N/A,FALSE,"ELEC";#N/A,#N/A,FALSE,"INSTR";#N/A,#N/A,FALSE,"PDS";#N/A,#N/A,FALSE,"mecan"}</definedName>
    <definedName name="NN" hidden="1">{#N/A,#N/A,FALSE,"subcontract"}</definedName>
    <definedName name="nnn" hidden="1">{#N/A,#N/A,FALSE,"Total_OC015";#N/A,#N/A,FALSE,"ADMIN";#N/A,#N/A,FALSE,"PROCES";#N/A,#N/A,FALSE,"mecan";#N/A,#N/A,FALSE,"civil";#N/A,#N/A,FALSE,"CAÑER";#N/A,#N/A,FALSE,"ELEC";#N/A,#N/A,FALSE,"INSTR"}</definedName>
    <definedName name="Norms" hidden="1">{"EXEC",#N/A,FALSE,"Header";"EXEC_3",#N/A,FALSE,"Summary_3"}</definedName>
    <definedName name="nose"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nose1" hidden="1">{#N/A,#N/A,FALSE,"Matrix";#N/A,#N/A,FALSE,"Executive";#N/A,#N/A,FALSE,"Summary";#N/A,#N/A,FALSE,"Office1";#N/A,#N/A,FALSE,"Office2";#N/A,#N/A,FALSE,"Office3";#N/A,#N/A,FALSE,"Office4";#N/A,#N/A,FALSE,"Office5";#N/A,#N/A,FALSE,"Office6";#N/A,#N/A,FALSE,"Office7";#N/A,#N/A,FALSE,"Labor"}</definedName>
    <definedName name="nose2" hidden="1">{#N/A,#N/A,FALSE,"E-1";#N/A,#N/A,FALSE,"E-2";#N/A,#N/A,FALSE,"F-1";#N/A,#N/A,FALSE,"F-2";#N/A,#N/A,FALSE,"F-3";#N/A,#N/A,FALSE,"F-4";#N/A,#N/A,FALSE,"F-5";#N/A,#N/A,FALSE,"F-6";#N/A,#N/A,FALSE,"Matrix"}</definedName>
    <definedName name="nose3" hidden="1">{#N/A,#N/A,FALSE,"Matrix";#N/A,#N/A,FALSE,"Executive";#N/A,#N/A,FALSE,"Summary"}</definedName>
    <definedName name="NPT">'[2]CAT - CODE'!$G$1526</definedName>
    <definedName name="Number_of_Payments" localSheetId="1">MATCH(0.01,End_Bal,-1)+1</definedName>
    <definedName name="Number_of_Payments" localSheetId="4">MATCH(0.01,End_Bal,-1)+1</definedName>
    <definedName name="Number_of_Payments">MATCH(0.01,End_Bal,-1)+1</definedName>
    <definedName name="NumberOfParameters" hidden="1">#REF!</definedName>
    <definedName name="Nunna_Multi">'[4]Option 2.1A'!$G$28,'[4]Option 2.1A'!$G$30,'[4]Option 2.1A'!$G$32</definedName>
    <definedName name="Nunna_On_Track">'[4]Option 2.1A'!$N$130,'[4]Option 2.1A'!$N$131,'[4]Option 2.1A'!$N$133,'[4]Option 2.1A'!$N$134,'[4]Option 2.1A'!$N$135,'[4]Option 2.1A'!#REF!,'[4]Option 2.1A'!$N$136,'[4]Option 2.1A'!$N$137,'[4]Option 2.1A'!$N$138,'[4]Option 2.1A'!$N$139,'[4]Option 2.1A'!$N$140,'[4]Option 2.1A'!$N$141</definedName>
    <definedName name="Nunna_Procurement">'[4]Option 2.1A'!$N$107:$N$126</definedName>
    <definedName name="Nunna_Single">'[4]Option 2.1A'!$G$29,'[4]Option 2.1A'!$G$31</definedName>
    <definedName name="o" hidden="1">{#N/A,#N/A,FALSE,"minas";#N/A,#N/A,FALSE,"Total_OC015";#N/A,#N/A,FALSE,"ADMIN";#N/A,#N/A,FALSE,"PROCES";#N/A,#N/A,FALSE,"civil";#N/A,#N/A,FALSE,"CAÑER";#N/A,#N/A,FALSE,"ELEC";#N/A,#N/A,FALSE,"INSTR";#N/A,#N/A,FALSE,"PDS";#N/A,#N/A,FALSE,"mecan"}</definedName>
    <definedName name="OBE_PKG_No">'[8]Curr&amp;CoNo'!$V$3:$V$34</definedName>
    <definedName name="odActual" hidden="1">0</definedName>
    <definedName name="odBudget" hidden="1">1</definedName>
    <definedName name="odForecast" hidden="1">2</definedName>
    <definedName name="OHLABSTOT">26258924</definedName>
    <definedName name="OHLABTOT">65669045</definedName>
    <definedName name="OHPLANTTOT">15050503</definedName>
    <definedName name="OHTOT">109736217</definedName>
    <definedName name="oo" hidden="1">{#N/A,#N/A,FALSE,"Total_OC015";#N/A,#N/A,FALSE,"ADMIN";#N/A,#N/A,FALSE,"PROCES";#N/A,#N/A,FALSE,"mecan";#N/A,#N/A,FALSE,"civil";#N/A,#N/A,FALSE,"CAÑER";#N/A,#N/A,FALSE,"ELEC";#N/A,#N/A,FALSE,"INSTR"}</definedName>
    <definedName name="OpDelim">","</definedName>
    <definedName name="OrderTable" hidden="1">#REF!</definedName>
    <definedName name="OwnersCostP1">#REF!,#REF!,#REF!,#REF!,#REF!</definedName>
    <definedName name="p" hidden="1">{#N/A,#N/A,TRUE,"Est. de Fact.";#N/A,#N/A,TRUE,"Capitulo 19";#N/A,#N/A,TRUE,"Proyecto P855"}</definedName>
    <definedName name="Pal_Workbook_GUID" hidden="1">"6MCXG5MTVZV8QS95FJP184LJ"</definedName>
    <definedName name="ParameterNamesBase" hidden="1">#REF!</definedName>
    <definedName name="Payment_Date" localSheetId="1">DATE(YEAR(Loan_Start),MONTH(Loan_Start)+'Document Control '!Payment_Number,DAY(Loan_Start))</definedName>
    <definedName name="Payment_Date" localSheetId="4">DATE(YEAR(Loan_Start),MONTH(Loan_Start)+'Requirements Formulas'!Payment_Number,DAY(Loan_Start))</definedName>
    <definedName name="Payment_Date">DATE(YEAR(Loan_Start),MONTH(Loan_Start)+Payment_Number,DAY(Loan_Start))</definedName>
    <definedName name="Payment_Number" localSheetId="1">ROW()-Header_Row</definedName>
    <definedName name="Payment_Number" localSheetId="4">ROW()-Header_Row</definedName>
    <definedName name="Payment_Number">ROW()-Header_Row</definedName>
    <definedName name="Pendências2" hidden="1">{#N/A,#N/A,FALSE,"GERAL";#N/A,#N/A,FALSE,"012-96";#N/A,#N/A,FALSE,"018-96";#N/A,#N/A,FALSE,"027-96";#N/A,#N/A,FALSE,"059-96";#N/A,#N/A,FALSE,"076-96";#N/A,#N/A,FALSE,"019-97";#N/A,#N/A,FALSE,"021-97";#N/A,#N/A,FALSE,"022-97";#N/A,#N/A,FALSE,"028-97"}</definedName>
    <definedName name="Pendências3" hidden="1">{#N/A,#N/A,FALSE,"GERAL";#N/A,#N/A,FALSE,"012-96";#N/A,#N/A,FALSE,"018-96";#N/A,#N/A,FALSE,"027-96";#N/A,#N/A,FALSE,"059-96";#N/A,#N/A,FALSE,"076-96";#N/A,#N/A,FALSE,"019-97";#N/A,#N/A,FALSE,"021-97";#N/A,#N/A,FALSE,"022-97";#N/A,#N/A,FALSE,"028-97"}</definedName>
    <definedName name="perso"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personal"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PIPEF">'[2]CAT - CODE'!$G$1521</definedName>
    <definedName name="pLANIFICACIÓN" hidden="1">{"Metalurgia",#N/A,FALSE,"Report_Día"}</definedName>
    <definedName name="PMT">[9]Factors!$G$16</definedName>
    <definedName name="pp" hidden="1">{"Sens Table",#N/A,FALSE,"Timing &amp; Assumptions";#N/A,#N/A,FALSE,"Key Data &amp; Results";"Cash Flow",#N/A,FALSE,"Cash Flows";#N/A,#N/A,FALSE,"Table of Contents";"Total Op Expenses Base Case",#N/A,FALSE,"Total Op Costs";"Plant Opex Base Case",#N/A,FALSE,"Plant Operating Expenses";"Mine Opex Base Case",#N/A,FALSE,"Mine Op Costs";"View_Base",#N/A,FALSE,"Labor Summary by Operation";"View_Base",#N/A,FALSE,"Labor by Function";"Cost Base",#N/A,FALSE,"Cost Table";"Book Base",#N/A,FALSE,"Book Depreciation";"Mine Plan Base Case",#N/A,FALSE,"Mine Plan";"Unit Costs",#N/A,FALSE,"Timing &amp; Assumptions"}</definedName>
    <definedName name="PREPAREDBY">'[1]Load Sheet'!$D$9</definedName>
    <definedName name="Print_Area_Reset" localSheetId="1">OFFSET(Full_Print,0,0,'Document Control '!Last_Row)</definedName>
    <definedName name="Print_Area_Reset" localSheetId="4">OFFSET(Full_Print,0,0,'Requirements Formulas'!Last_Row)</definedName>
    <definedName name="Print_Area_Reset">OFFSET(Full_Print,0,0,[0]!Last_Row)</definedName>
    <definedName name="_xlnm.Print_Titles">'[10]Fig 6-7'!$A$5:$IV$12</definedName>
    <definedName name="ProdForm" hidden="1">#REF!</definedName>
    <definedName name="Product" hidden="1">#REF!</definedName>
    <definedName name="PROGINC" hidden="1">{"DETALLE_1996",#N/A,FALSE,"flujo";"DETALLE_1997",#N/A,FALSE,"flujo";"GASTOS_INCURRIDOS_1996",#N/A,FALSE,"flujo";"GASTOS_PROGRAMADOS_PARA_1997",#N/A,FALSE,"flujo";#N/A,#N/A,FALSE,"comparat";#N/A,#N/A,FALSE,"costos";#N/A,#N/A,FALSE,"proyctrol"}</definedName>
    <definedName name="project_name">[11]Input!$B$9</definedName>
    <definedName name="PROJECTNAME">'[1]Load Sheet'!$D$6</definedName>
    <definedName name="prospects" hidden="1">{#N/A,#N/A,FALSE,"FCST94";#N/A,#N/A,FALSE,"FIRM";#N/A,#N/A,FALSE,"BACK94";#N/A,#N/A,FALSE,"FCST95";#N/A,#N/A,FALSE,"BACK95";#N/A,#N/A,FALSE,"FCST96"}</definedName>
    <definedName name="PV" hidden="1">{#N/A,#N/A,FALSE,"subcontract"}</definedName>
    <definedName name="q" hidden="1">{#N/A,#N/A,FALSE,"Total_OC015";#N/A,#N/A,FALSE,"ADMIN";#N/A,#N/A,FALSE,"PROCES";#N/A,#N/A,FALSE,"mecan";#N/A,#N/A,FALSE,"civil";#N/A,#N/A,FALSE,"CAÑER";#N/A,#N/A,FALSE,"ELEC";#N/A,#N/A,FALSE,"INSTR"}</definedName>
    <definedName name="QGF">'[2]CAT - CODE'!$G$1527</definedName>
    <definedName name="qq" hidden="1">{#N/A,#N/A,TRUE,"Est. de Fact.";#N/A,#N/A,TRUE,"Capitulo 19";#N/A,#N/A,TRUE,"Proyecto P855"}</definedName>
    <definedName name="quantity" localSheetId="1" hidden="1">INDEX(codematch,1,20)</definedName>
    <definedName name="quantity" localSheetId="4" hidden="1">INDEX(codematch,1,20)</definedName>
    <definedName name="quantity" hidden="1">INDEX(codematch,1,20)</definedName>
    <definedName name="qwa" hidden="1">{"Sens Table",#N/A,FALSE,"Timing &amp; Assumptions";#N/A,#N/A,FALSE,"Key Data &amp; Results";"Cash Flow",#N/A,FALSE,"Cash Flows";#N/A,#N/A,FALSE,"Table of Contents";"Total Op Expenses Base Case",#N/A,FALSE,"Total Op Costs";"Plant Opex Base Case",#N/A,FALSE,"Plant Operating Expenses";"Mine Opex Base Case",#N/A,FALSE,"Mine Op Costs";"View_Base",#N/A,FALSE,"Labor Summary by Operation";"View_Base",#N/A,FALSE,"Labor by Function";"Cost Base",#N/A,FALSE,"Cost Table";"Book Base",#N/A,FALSE,"Book Depreciation";"Mine Plan Base Case",#N/A,FALSE,"Mine Plan";"Unit Costs",#N/A,FALSE,"Timing &amp; Assumptions"}</definedName>
    <definedName name="qwe" hidden="1">{"DETALLE_1996",#N/A,FALSE,"flujo";"DETALLE_1997",#N/A,FALSE,"flujo";"GASTOS_INCURRIDOS_1996",#N/A,FALSE,"flujo";"GASTOS_PROGRAMADOS_PARA_1997",#N/A,FALSE,"flujo";#N/A,#N/A,FALSE,"comparat";#N/A,#N/A,FALSE,"costos";#N/A,#N/A,FALSE,"proyctrol"}</definedName>
    <definedName name="qwee" hidden="1">{#N/A,#N/A,FALSE,"Total_OC015";#N/A,#N/A,FALSE,"ADMIN";#N/A,#N/A,FALSE,"PROCES";#N/A,#N/A,FALSE,"mecan";#N/A,#N/A,FALSE,"civil";#N/A,#N/A,FALSE,"CAÑER";#N/A,#N/A,FALSE,"ELEC";#N/A,#N/A,FALSE,"INSTR"}</definedName>
    <definedName name="qx" hidden="1">{#N/A,#N/A,FALSE,"masez (10)";#N/A,#N/A,FALSE,"masez (7)";#N/A,#N/A,FALSE,"masez (6)";#N/A,#N/A,FALSE,"masez (5)";#N/A,#N/A,FALSE,"masez (4)";#N/A,#N/A,FALSE,"masez (3)";#N/A,#N/A,FALSE,"masez (2)";#N/A,#N/A,FALSE,"GME";#N/A,#N/A,FALSE,"masez"}</definedName>
    <definedName name="R_Contingency">[9]Factors!$C$5:$G$12</definedName>
    <definedName name="RCArea" hidden="1">#REF!</definedName>
    <definedName name="red" hidden="1">{"DETALLE_1996",#N/A,FALSE,"flujo";"DETALLE_1997",#N/A,FALSE,"flujo";"GASTOS_INCURRIDOS_1996",#N/A,FALSE,"flujo";"GASTOS_PROGRAMADOS_PARA_1997",#N/A,FALSE,"flujo";#N/A,#N/A,FALSE,"comparat";#N/A,#N/A,FALSE,"costos";#N/A,#N/A,FALSE,"proyctrol"}</definedName>
    <definedName name="rer" hidden="1">{"DETALLE_1996",#N/A,FALSE,"flujo";"DETALLE_1997",#N/A,FALSE,"flujo";"GASTOS_INCURRIDOS_1996",#N/A,FALSE,"flujo";"GASTOS_PROGRAMADOS_PARA_1997",#N/A,FALSE,"flujo";#N/A,#N/A,FALSE,"comparat";#N/A,#N/A,FALSE,"costos";#N/A,#N/A,FALSE,"proyctrol"}</definedName>
    <definedName name="rew" hidden="1">{"DETALLE_1996",#N/A,FALSE,"flujo";"DETALLE_1997",#N/A,FALSE,"flujo";"GASTOS_INCURRIDOS_1996",#N/A,FALSE,"flujo";"GASTOS_PROGRAMADOS_PARA_1997",#N/A,FALSE,"flujo";#N/A,#N/A,FALSE,"comparat";#N/A,#N/A,FALSE,"costos";#N/A,#N/A,FALSE,"proyctrol"}</definedName>
    <definedName name="RiskAfterRecalcMacro" hidden="1">""</definedName>
    <definedName name="RiskAfterSimMacro" hidden="1">""</definedName>
    <definedName name="RiskBeforeRecalcMacro" hidden="1">""</definedName>
    <definedName name="RiskBeforeSimMacro" hidden="1">""</definedName>
    <definedName name="RiskCollectDistributionSamples" hidden="1">2</definedName>
    <definedName name="RiskFixedSeed" hidden="1">1</definedName>
    <definedName name="RiskHasSettings" hidden="1">5</definedName>
    <definedName name="RiskMinimizeOnStart" hidden="1">FALSE</definedName>
    <definedName name="RiskMonitorConvergence" hidden="1">FALSE</definedName>
    <definedName name="RiskMultipleCPUSupportEnabled" hidden="1">TRUE</definedName>
    <definedName name="RiskNumIterations" hidden="1">10000</definedName>
    <definedName name="RiskNumSimulations" hidden="1">1</definedName>
    <definedName name="RiskPauseOnError" hidden="1">FALSE</definedName>
    <definedName name="RiskRunAfterRecalcMacro" hidden="1">FALSE</definedName>
    <definedName name="RiskRunAfterSimMacro" hidden="1">FALSE</definedName>
    <definedName name="RiskRunBeforeRecalcMacro" hidden="1">FALSE</definedName>
    <definedName name="RiskRunBeforeSimMacro" hidden="1">FALSE</definedName>
    <definedName name="RiskSamplingType" hidden="1">3</definedName>
    <definedName name="RiskStandardRecalc" hidden="1">1</definedName>
    <definedName name="RiskSwapState" hidden="1">FALSE</definedName>
    <definedName name="RiskUpdateDisplay" hidden="1">FALSE</definedName>
    <definedName name="RiskUseDifferentSeedForEachSim" hidden="1">FALSE</definedName>
    <definedName name="RiskUseFixedSeed" hidden="1">FALSE</definedName>
    <definedName name="RiskUseMultipleCPUs" hidden="1">TRUE</definedName>
    <definedName name="RO" hidden="1">#REF!</definedName>
    <definedName name="rr" hidden="1">{"DETALLE_1996",#N/A,FALSE,"flujo";"DETALLE_1997",#N/A,FALSE,"flujo";"GASTOS_INCURRIDOS_1996",#N/A,FALSE,"flujo";"GASTOS_PROGRAMADOS_PARA_1997",#N/A,FALSE,"flujo";#N/A,#N/A,FALSE,"comparat";#N/A,#N/A,FALSE,"costos";#N/A,#N/A,FALSE,"proyctrol"}</definedName>
    <definedName name="rryt" hidden="1">{#N/A,#N/A,TRUE,"Est. de Fact.";#N/A,#N/A,TRUE,"Capitulo 19";#N/A,#N/A,TRUE,"Proyecto P855"}</definedName>
    <definedName name="rty" hidden="1">{#N/A,#N/A,FALSE,"masez (10)";#N/A,#N/A,FALSE,"masez (7)";#N/A,#N/A,FALSE,"masez (6)";#N/A,#N/A,FALSE,"masez (5)";#N/A,#N/A,FALSE,"masez (4)";#N/A,#N/A,FALSE,"masez (3)";#N/A,#N/A,FALSE,"masez (2)";#N/A,#N/A,FALSE,"GME";#N/A,#N/A,FALSE,"masez"}</definedName>
    <definedName name="s" hidden="1">{"EXEC",#N/A,FALSE,"Header";"EXEC_2",#N/A,FALSE,"Summary_2"}</definedName>
    <definedName name="SAPBEXdnldView" hidden="1">"7OGIGB71WVVGAN98JCJ6P8O2D"</definedName>
    <definedName name="SAPBEXrevision" hidden="1">1</definedName>
    <definedName name="SAPBEXsysID" hidden="1">"BPR"</definedName>
    <definedName name="SAPBEXwbID" hidden="1">"2PSRN2S0TV662ZVOI3M3NE0QA"</definedName>
    <definedName name="sd" hidden="1">{"DETALLE_1996",#N/A,FALSE,"flujo";"DETALLE_1997",#N/A,FALSE,"flujo";"GASTOS_INCURRIDOS_1996",#N/A,FALSE,"flujo";"GASTOS_PROGRAMADOS_PARA_1997",#N/A,FALSE,"flujo";#N/A,#N/A,FALSE,"comparat";#N/A,#N/A,FALSE,"costos";#N/A,#N/A,FALSE,"proyctrol"}</definedName>
    <definedName name="sda" hidden="1">{#N/A,#N/A,FALSE,"Total_OC015";#N/A,#N/A,FALSE,"ADMIN";#N/A,#N/A,FALSE,"PROCES";#N/A,#N/A,FALSE,"mecan";#N/A,#N/A,FALSE,"civil";#N/A,#N/A,FALSE,"CAÑER";#N/A,#N/A,FALSE,"ELEC";#N/A,#N/A,FALSE,"INSTR"}</definedName>
    <definedName name="sdf" hidden="1">{"DETALLE_1996",#N/A,FALSE,"flujo";"DETALLE_1997",#N/A,FALSE,"flujo";"GASTOS_INCURRIDOS_1996",#N/A,FALSE,"flujo";"GASTOS_PROGRAMADOS_PARA_1997",#N/A,FALSE,"flujo";#N/A,#N/A,FALSE,"comparat";#N/A,#N/A,FALSE,"costos";#N/A,#N/A,FALSE,"proyctrol"}</definedName>
    <definedName name="SDKSD" hidden="1">{#N/A,#N/A,FALSE,"Total_OC015";#N/A,#N/A,FALSE,"ADMIN";#N/A,#N/A,FALSE,"PROCES";#N/A,#N/A,FALSE,"mecan";#N/A,#N/A,FALSE,"civil";#N/A,#N/A,FALSE,"CAÑER";#N/A,#N/A,FALSE,"ELEC";#N/A,#N/A,FALSE,"INSTR"}</definedName>
    <definedName name="sdsd" hidden="1">{"DETALLE_1996",#N/A,FALSE,"flujo";"DETALLE_1997",#N/A,FALSE,"flujo";"GASTOS_INCURRIDOS_1996",#N/A,FALSE,"flujo";"GASTOS_PROGRAMADOS_PARA_1997",#N/A,FALSE,"flujo";#N/A,#N/A,FALSE,"comparat";#N/A,#N/A,FALSE,"costos";#N/A,#N/A,FALSE,"proyctrol"}</definedName>
    <definedName name="sef" hidden="1">{"Acumulados",#N/A,FALSE,"Acumulados"}</definedName>
    <definedName name="SEMANAL" hidden="1">{"Cal_Día",#N/A,FALSE,"Calculo_Día"}</definedName>
    <definedName name="sencount" hidden="1">1</definedName>
    <definedName name="SFGAST5" hidden="1">{#N/A,#N/A,FALSE,"IC_Global";#N/A,#N/A,FALSE,"IC_Global (98-f)";#N/A,#N/A,FALSE,"Inc";#N/A,#N/A,FALSE,"CAMBIOS (2)";#N/A,#N/A,FALSE,"EXPL Inc.";#N/A,#N/A,FALSE,"HITOS98";#N/A,#N/A,FALSE,"CURVA ""S"" GLOBAL ";#N/A,#N/A,FALSE,"CURVA ""S"" 1998 "}</definedName>
    <definedName name="SFINTOTAL" hidden="1">{"DETALLE_1996",#N/A,FALSE,"flujo";"DETALLE_1997",#N/A,FALSE,"flujo";"GASTOS_INCURRIDOS_1996",#N/A,FALSE,"flujo";"GASTOS_PROGRAMADOS_PARA_1997",#N/A,FALSE,"flujo";#N/A,#N/A,FALSE,"comparat";#N/A,#N/A,FALSE,"costos";#N/A,#N/A,FALSE,"proyctrol"}</definedName>
    <definedName name="SFSTRT" hidden="1">{#N/A,#N/A,FALSE,"masez (10)";#N/A,#N/A,FALSE,"masez (7)";#N/A,#N/A,FALSE,"masez (6)";#N/A,#N/A,FALSE,"masez (5)";#N/A,#N/A,FALSE,"masez (4)";#N/A,#N/A,FALSE,"masez (3)";#N/A,#N/A,FALSE,"masez (2)";#N/A,#N/A,FALSE,"GME";#N/A,#N/A,FALSE,"masez"}</definedName>
    <definedName name="sgbj" hidden="1">{#N/A,#N/A,FALSE,"masez (10)";#N/A,#N/A,FALSE,"masez (7)";#N/A,#N/A,FALSE,"masez (6)";#N/A,#N/A,FALSE,"masez (5)";#N/A,#N/A,FALSE,"masez (4)";#N/A,#N/A,FALSE,"masez (3)";#N/A,#N/A,FALSE,"masez (2)";#N/A,#N/A,FALSE,"GME";#N/A,#N/A,FALSE,"masez"}</definedName>
    <definedName name="SigFigsYesNo">"Yes"</definedName>
    <definedName name="solver_adj" hidden="1">#REF!</definedName>
    <definedName name="solver_cvg" hidden="1">0.001</definedName>
    <definedName name="solver_drv" hidden="1">2</definedName>
    <definedName name="solver_est" hidden="1">2</definedName>
    <definedName name="solver_itr" hidden="1">100</definedName>
    <definedName name="solver_lhs3" hidden="1">#REF!</definedName>
    <definedName name="solver_lhs4" hidden="1">#REF!</definedName>
    <definedName name="solver_lhs5" hidden="1">#REF!</definedName>
    <definedName name="solver_lhs6" hidden="1">#REF!</definedName>
    <definedName name="solver_lin" hidden="1">0</definedName>
    <definedName name="solver_neg" hidden="1">2</definedName>
    <definedName name="solver_num" hidden="1">0</definedName>
    <definedName name="solver_nwt" hidden="1">1</definedName>
    <definedName name="solver_opt" hidden="1">#REF!</definedName>
    <definedName name="solver_pre" hidden="1">0.000001</definedName>
    <definedName name="solver_rel3" hidden="1">2</definedName>
    <definedName name="solver_rel4" hidden="1">2</definedName>
    <definedName name="solver_rel5" hidden="1">2</definedName>
    <definedName name="solver_rel6" hidden="1">1</definedName>
    <definedName name="solver_rhs3" hidden="1">#REF!</definedName>
    <definedName name="solver_rhs4" hidden="1">#REF!</definedName>
    <definedName name="solver_rhs5" hidden="1">#REF!</definedName>
    <definedName name="solver_rhs6" hidden="1">#REF!</definedName>
    <definedName name="solver_scl" hidden="1">0</definedName>
    <definedName name="solver_sho" hidden="1">0</definedName>
    <definedName name="solver_tim" hidden="1">100</definedName>
    <definedName name="solver_tmp" hidden="1">#NULL!</definedName>
    <definedName name="solver_tol" hidden="1">0.05</definedName>
    <definedName name="solver_typ" hidden="1">2</definedName>
    <definedName name="solver_val" hidden="1">0</definedName>
    <definedName name="SP" hidden="1">{#N/A,#N/A,FALSE,"subcontract"}</definedName>
    <definedName name="SpecialPrice" hidden="1">#REF!</definedName>
    <definedName name="ss" hidden="1">{#N/A,#N/A,FALSE,"masez (10)";#N/A,#N/A,FALSE,"masez (7)";#N/A,#N/A,FALSE,"masez (6)";#N/A,#N/A,FALSE,"masez (5)";#N/A,#N/A,FALSE,"masez (4)";#N/A,#N/A,FALSE,"masez (3)";#N/A,#N/A,FALSE,"masez (2)";#N/A,#N/A,FALSE,"GME";#N/A,#N/A,FALSE,"masez"}</definedName>
    <definedName name="sss" hidden="1">{#N/A,#N/A,FALSE,"masez (10)";#N/A,#N/A,FALSE,"masez (7)";#N/A,#N/A,FALSE,"masez (6)";#N/A,#N/A,FALSE,"masez (5)";#N/A,#N/A,FALSE,"masez (4)";#N/A,#N/A,FALSE,"masez (3)";#N/A,#N/A,FALSE,"masez (2)";#N/A,#N/A,FALSE,"GME";#N/A,#N/A,FALSE,"masez"}</definedName>
    <definedName name="Step1Dimensions" hidden="1">#REF!</definedName>
    <definedName name="Step2Manual" hidden="1">#REF!</definedName>
    <definedName name="Step2NumSizes" hidden="1">#REF!</definedName>
    <definedName name="Step2Ratio" hidden="1">#REF!</definedName>
    <definedName name="Step2TopSize" hidden="1">#REF!</definedName>
    <definedName name="Step2VertMassNames" hidden="1">#REF!</definedName>
    <definedName name="Step3LowSG" hidden="1">#REF!</definedName>
    <definedName name="Step3Manual" hidden="1">#REF!</definedName>
    <definedName name="Step3NumSGs" hidden="1">#REF!</definedName>
    <definedName name="Step3SGInterval" hidden="1">#REF!</definedName>
    <definedName name="Step4NumItems" hidden="1">#REF!</definedName>
    <definedName name="Step4StreamNames" hidden="1">#REF!</definedName>
    <definedName name="Step5NumItems" hidden="1">#REF!</definedName>
    <definedName name="Step5UnitNames" hidden="1">#REF!</definedName>
    <definedName name="Step6NumItems" hidden="1">#REF!</definedName>
    <definedName name="STPEF">'[2]CAT - CODE'!$G$1518</definedName>
    <definedName name="StreamNumberFormat">"000"</definedName>
    <definedName name="StreamPrefix">"P_"</definedName>
    <definedName name="StreamSummaryLabels" hidden="1">#REF!</definedName>
    <definedName name="Sub_Area_TABLE">'[12]WBS Structure_Current '!#REF!</definedName>
    <definedName name="Swvu.GAITHERSBURG._.OFFICE." hidden="1">#REF!</definedName>
    <definedName name="Swvu.garo_graph." hidden="1">#REF!</definedName>
    <definedName name="Swvu.garo_personnel." hidden="1">#REF!</definedName>
    <definedName name="Swvu.headcount._.change." hidden="1">#REF!</definedName>
    <definedName name="Swvu.personnel._.by._.location." hidden="1">#REF!</definedName>
    <definedName name="t" hidden="1">{"DETALLE_1996",#N/A,FALSE,"flujo";"DETALLE_1997",#N/A,FALSE,"flujo";"GASTOS_INCURRIDOS_1996",#N/A,FALSE,"flujo";"GASTOS_PROGRAMADOS_PARA_1997",#N/A,FALSE,"flujo";#N/A,#N/A,FALSE,"comparat";#N/A,#N/A,FALSE,"costos";#N/A,#N/A,FALSE,"proyctrol"}</definedName>
    <definedName name="table5b" hidden="1">{#N/A,#N/A,TRUE,"Cover";#N/A,#N/A,TRUE,"Sched 2";#N/A,#N/A,TRUE,"Sched 3";#N/A,#N/A,TRUE,"Sched 4";#N/A,#N/A,TRUE,"Sched 9"}</definedName>
    <definedName name="table6" hidden="1">{#N/A,#N/A,TRUE,"Cover";#N/A,#N/A,TRUE,"Sched 2";#N/A,#N/A,TRUE,"Sched 3";#N/A,#N/A,TRUE,"Sched 4";#N/A,#N/A,TRUE,"Sched 9"}</definedName>
    <definedName name="tbl_ProdInfo" hidden="1">#REF!</definedName>
    <definedName name="test" hidden="1">{#N/A,#N/A,TRUE,"Cost Office Report";#N/A,#N/A,TRUE,"Cost Office Report B"}</definedName>
    <definedName name="testito" hidden="1">{"Sens Table",#N/A,FALSE,"Timing &amp; Assumptions";#N/A,#N/A,FALSE,"Key Data &amp; Results";"Cash Flow",#N/A,FALSE,"Cash Flows";#N/A,#N/A,FALSE,"Table of Contents";"Total Op Expenses Base Case",#N/A,FALSE,"Total Op Costs";"Plant Opex Base Case",#N/A,FALSE,"Plant Operating Expenses";"Mine Opex Base Case",#N/A,FALSE,"Mine Op Costs";"View_Base",#N/A,FALSE,"Labor Summary by Operation";"View_Base",#N/A,FALSE,"Labor by Function";"Cost Base",#N/A,FALSE,"Cost Table";"Book Base",#N/A,FALSE,"Book Depreciation";"Mine Plan Base Case",#N/A,FALSE,"Mine Plan";"Unit Costs",#N/A,FALSE,"Timing &amp; Assumptions"}</definedName>
    <definedName name="TIME" hidden="1">#REF!</definedName>
    <definedName name="TOTAL_Equipment">'[13]Estimator - BOQ'!$AH$7</definedName>
    <definedName name="TOTAL_Labour_Distributables">'[13]Estimator - BOQ'!$BF$7</definedName>
    <definedName name="TOTAL_Labour_Offsite">'[13]Estimator - BOQ'!$AV$7</definedName>
    <definedName name="TOTAL_Labour_Onsite">'[13]Estimator - BOQ'!$BB$7</definedName>
    <definedName name="TOTAL_Material">'[13]Estimator - BOQ'!$AG$7</definedName>
    <definedName name="TOTAL_Prelims">'[13]Estimator - Prelim'!$AL$8</definedName>
    <definedName name="TOTAL_Risk">'[13]Estimator - BOQ'!$BS$7</definedName>
    <definedName name="TOTAL_Subcontractors">'[13]Estimator - BOQ'!$BJ$7</definedName>
    <definedName name="TOTAL_VendorRep">'[13]Estimator - BOQ'!$BH$7</definedName>
    <definedName name="Transport">#REF!</definedName>
    <definedName name="Transport_Table">#REF!</definedName>
    <definedName name="trj" hidden="1">{"DETALLE_1996",#N/A,FALSE,"flujo";"DETALLE_1997",#N/A,FALSE,"flujo";"GASTOS_INCURRIDOS_1996",#N/A,FALSE,"flujo";"GASTOS_PROGRAMADOS_PARA_1997",#N/A,FALSE,"flujo";#N/A,#N/A,FALSE,"comparat";#N/A,#N/A,FALSE,"costos";#N/A,#N/A,FALSE,"proyctrol"}</definedName>
    <definedName name="tt" hidden="1">{#N/A,#N/A,FALSE,"Total_OC015";#N/A,#N/A,FALSE,"ADMIN";#N/A,#N/A,FALSE,"PROCES";#N/A,#N/A,FALSE,"mecan";#N/A,#N/A,FALSE,"civil";#N/A,#N/A,FALSE,"CAÑER";#N/A,#N/A,FALSE,"ELEC";#N/A,#N/A,FALSE,"INSTR"}</definedName>
    <definedName name="tttt" localSheetId="1" hidden="1">INDEX(codematch,1,20)</definedName>
    <definedName name="tttt" localSheetId="4" hidden="1">INDEX(codematch,1,20)</definedName>
    <definedName name="tttt" hidden="1">INDEX(codematch,1,20)</definedName>
    <definedName name="tuut" hidden="1">{#N/A,#N/A,FALSE,"masez (10)";#N/A,#N/A,FALSE,"masez (7)";#N/A,#N/A,FALSE,"masez (6)";#N/A,#N/A,FALSE,"masez (5)";#N/A,#N/A,FALSE,"masez (4)";#N/A,#N/A,FALSE,"masez (3)";#N/A,#N/A,FALSE,"masez (2)";#N/A,#N/A,FALSE,"GME";#N/A,#N/A,FALSE,"masez"}</definedName>
    <definedName name="u" hidden="1">{"DETALLE_1996",#N/A,FALSE,"flujo";"DETALLE_1997",#N/A,FALSE,"flujo";"GASTOS_INCURRIDOS_1996",#N/A,FALSE,"flujo";"GASTOS_PROGRAMADOS_PARA_1997",#N/A,FALSE,"flujo";#N/A,#N/A,FALSE,"comparat";#N/A,#N/A,FALSE,"costos";#N/A,#N/A,FALSE,"proyctrol"}</definedName>
    <definedName name="ui" hidden="1">{"DETALLE_1996",#N/A,FALSE,"flujo";"DETALLE_1997",#N/A,FALSE,"flujo";"GASTOS_INCURRIDOS_1996",#N/A,FALSE,"flujo";"GASTOS_PROGRAMADOS_PARA_1997",#N/A,FALSE,"flujo";#N/A,#N/A,FALSE,"comparat";#N/A,#N/A,FALSE,"costos";#N/A,#N/A,FALSE,"proyctrol"}</definedName>
    <definedName name="uil" hidden="1">{"DETALLE_1996",#N/A,FALSE,"flujo";"DETALLE_1997",#N/A,FALSE,"flujo";"GASTOS_INCURRIDOS_1996",#N/A,FALSE,"flujo";"GASTOS_PROGRAMADOS_PARA_1997",#N/A,FALSE,"flujo";#N/A,#N/A,FALSE,"comparat";#N/A,#N/A,FALSE,"costos";#N/A,#N/A,FALSE,"proyctrol"}</definedName>
    <definedName name="UNI_AA_VERSION" hidden="1">150.1</definedName>
    <definedName name="UNI_FILT_END" hidden="1">8</definedName>
    <definedName name="UNI_FILT_OFFSPEC" hidden="1">2</definedName>
    <definedName name="UNI_FILT_ONSPEC" hidden="1">1</definedName>
    <definedName name="UNI_FILT_START" hidden="1">4</definedName>
    <definedName name="UNI_NOTHING" hidden="1">0</definedName>
    <definedName name="UNI_PRES_CLOSEST" hidden="1">512</definedName>
    <definedName name="UNI_PRES_FILTER" hidden="1">1</definedName>
    <definedName name="UNI_PRES_HEADINGS" hidden="1">16</definedName>
    <definedName name="UNI_PRES_INVERT" hidden="1">2</definedName>
    <definedName name="UNI_PRES_MATRIX" hidden="1">4</definedName>
    <definedName name="UNI_PRES_MERGED" hidden="1">8</definedName>
    <definedName name="UNI_PRES_MRECORD" hidden="1">64</definedName>
    <definedName name="UNI_PRES_OUTLIERS" hidden="1">32</definedName>
    <definedName name="UNI_PRES_POST" hidden="1">256</definedName>
    <definedName name="UNI_PRES_PRIOR" hidden="1">2048</definedName>
    <definedName name="UNI_PRES_RECENT" hidden="1">1024</definedName>
    <definedName name="UNI_PRES_STATIC" hidden="1">128</definedName>
    <definedName name="UNI_PRES_TRANSPOSE" hidden="1">4096</definedName>
    <definedName name="UNI_RET_ATTRIB" hidden="1">64</definedName>
    <definedName name="UNI_RET_CONF" hidden="1">32</definedName>
    <definedName name="UNI_RET_DESC" hidden="1">4</definedName>
    <definedName name="UNI_RET_END" hidden="1">16384</definedName>
    <definedName name="UNI_RET_EQUIP" hidden="1">32768</definedName>
    <definedName name="UNI_RET_EVENT" hidden="1">4096</definedName>
    <definedName name="UNI_RET_OFFSPEC" hidden="1">512</definedName>
    <definedName name="UNI_RET_ONSPEC" hidden="1">256</definedName>
    <definedName name="UNI_RET_PROP" hidden="1">131072</definedName>
    <definedName name="UNI_RET_PROPDESC" hidden="1">262144</definedName>
    <definedName name="UNI_RET_SMPLPNT" hidden="1">65536</definedName>
    <definedName name="UNI_RET_SPECMAX" hidden="1">2048</definedName>
    <definedName name="UNI_RET_SPECMIN" hidden="1">1024</definedName>
    <definedName name="UNI_RET_START" hidden="1">8192</definedName>
    <definedName name="UNI_RET_TAG" hidden="1">1</definedName>
    <definedName name="UNI_RET_TESTTIME" hidden="1">128</definedName>
    <definedName name="UNI_RET_TIME" hidden="1">8</definedName>
    <definedName name="UNI_RET_UNIT" hidden="1">2</definedName>
    <definedName name="UNI_RET_VALUE" hidden="1">16</definedName>
    <definedName name="Unknown" hidden="1">#REF!</definedName>
    <definedName name="USD">'[2]CAT - CODE'!$G$1513</definedName>
    <definedName name="uu" hidden="1">{#N/A,#N/A,FALSE,"Total_OC015";#N/A,#N/A,FALSE,"ADMIN";#N/A,#N/A,FALSE,"PROCES";#N/A,#N/A,FALSE,"mecan";#N/A,#N/A,FALSE,"civil";#N/A,#N/A,FALSE,"CAÑER";#N/A,#N/A,FALSE,"ELEC";#N/A,#N/A,FALSE,"INSTR"}</definedName>
    <definedName name="v" hidden="1">{"DETALLE_1996",#N/A,FALSE,"flujo";"DETALLE_1997",#N/A,FALSE,"flujo";"GASTOS_INCURRIDOS_1996",#N/A,FALSE,"flujo";"GASTOS_PROGRAMADOS_PARA_1997",#N/A,FALSE,"flujo";#N/A,#N/A,FALSE,"comparat";#N/A,#N/A,FALSE,"costos";#N/A,#N/A,FALSE,"proyctrol"}</definedName>
    <definedName name="vbn" hidden="1">{"DETALLE_1996",#N/A,FALSE,"flujo";"DETALLE_1997",#N/A,FALSE,"flujo";"GASTOS_INCURRIDOS_1996",#N/A,FALSE,"flujo";"GASTOS_PROGRAMADOS_PARA_1997",#N/A,FALSE,"flujo";#N/A,#N/A,FALSE,"comparat";#N/A,#N/A,FALSE,"costos";#N/A,#N/A,FALSE,"proyctrol"}</definedName>
    <definedName name="vcx" hidden="1">{"DETALLE_1996",#N/A,FALSE,"flujo";"DETALLE_1997",#N/A,FALSE,"flujo";"GASTOS_INCURRIDOS_1996",#N/A,FALSE,"flujo";"GASTOS_PROGRAMADOS_PARA_1997",#N/A,FALSE,"flujo";#N/A,#N/A,FALSE,"comparat";#N/A,#N/A,FALSE,"costos";#N/A,#N/A,FALSE,"proyctrol"}</definedName>
    <definedName name="VCXNVJHKKLYJ" hidden="1">{#N/A,#N/A,FALSE,"masez (10)";#N/A,#N/A,FALSE,"masez (7)";#N/A,#N/A,FALSE,"masez (6)";#N/A,#N/A,FALSE,"masez (5)";#N/A,#N/A,FALSE,"masez (4)";#N/A,#N/A,FALSE,"masez (3)";#N/A,#N/A,FALSE,"masez (2)";#N/A,#N/A,FALSE,"GME";#N/A,#N/A,FALSE,"masez"}</definedName>
    <definedName name="vero" hidden="1">{"Sens Table",#N/A,FALSE,"Timing &amp; Assumptions";#N/A,#N/A,FALSE,"Key Data &amp; Results";"Cash Flow",#N/A,FALSE,"Cash Flows";#N/A,#N/A,FALSE,"Table of Contents";"Total Op Expenses Base Case",#N/A,FALSE,"Total Op Costs";"Plant Opex Base Case",#N/A,FALSE,"Plant Operating Expenses";"Mine Opex Base Case",#N/A,FALSE,"Mine Op Costs";"View_Base",#N/A,FALSE,"Labor Summary by Operation";"View_Base",#N/A,FALSE,"Labor by Function";"Cost Base",#N/A,FALSE,"Cost Table";"Book Base",#N/A,FALSE,"Book Depreciation";"Mine Plan Base Case",#N/A,FALSE,"Mine Plan";"Unit Costs",#N/A,FALSE,"Timing &amp; Assumptions"}</definedName>
    <definedName name="verti" hidden="1">{"desarrollo",#N/A,FALSE,"Cámara Camión";"resumen",#N/A,FALSE,"Cámara Camión";"eqprod",#N/A,FALSE,"Cámara Camión"}</definedName>
    <definedName name="vertical" hidden="1">{"desarrollo",#N/A,FALSE,"LHD Camión";"eqdllo",#N/A,FALSE,"LHD Camión";"eqprod",#N/A,FALSE,"LHD Camión";"Resumen",#N/A,FALSE,"LHD Camión"}</definedName>
    <definedName name="vfd" hidden="1">{#N/A,#N/A,FALSE,"Total_OC015";#N/A,#N/A,FALSE,"ADMIN";#N/A,#N/A,FALSE,"PROCES";#N/A,#N/A,FALSE,"mecan";#N/A,#N/A,FALSE,"civil";#N/A,#N/A,FALSE,"CAÑER";#N/A,#N/A,FALSE,"ELEC";#N/A,#N/A,FALSE,"INSTR"}</definedName>
    <definedName name="vff" hidden="1">{#N/A,#N/A,FALSE,"minas";#N/A,#N/A,FALSE,"Total_OC015";#N/A,#N/A,FALSE,"ADMIN";#N/A,#N/A,FALSE,"PROCES";#N/A,#N/A,FALSE,"civil";#N/A,#N/A,FALSE,"CAÑER";#N/A,#N/A,FALSE,"ELEC";#N/A,#N/A,FALSE,"INSTR";#N/A,#N/A,FALSE,"PDS";#N/A,#N/A,FALSE,"mecan"}</definedName>
    <definedName name="viio" hidden="1">{#N/A,#N/A,FALSE,"masez (10)";#N/A,#N/A,FALSE,"masez (7)";#N/A,#N/A,FALSE,"masez (6)";#N/A,#N/A,FALSE,"masez (5)";#N/A,#N/A,FALSE,"masez (4)";#N/A,#N/A,FALSE,"masez (3)";#N/A,#N/A,FALSE,"masez (2)";#N/A,#N/A,FALSE,"GME";#N/A,#N/A,FALSE,"masez"}</definedName>
    <definedName name="VOWD_DATA">'[14]Budget Tracker (J)'!$DT$6:$HG$80</definedName>
    <definedName name="VOWD_STATUS">'[14]Budget Tracker (J)'!$DT$5:$HG$5</definedName>
    <definedName name="VOWD_TITLE_FY">'[14]Budget Tracker (J)'!$DT$4:$HG$4</definedName>
    <definedName name="VOWD_TITLE_MONTH">'[14]Budget Tracker (J)'!$DT$2:$HG$2</definedName>
    <definedName name="VOWD_TITLE_QUARTER">'[14]Budget Tracker (J)'!$DT$3:$HG$3</definedName>
    <definedName name="vvv" hidden="1">{#N/A,#N/A,FALSE,"Total_OC015";#N/A,#N/A,FALSE,"ADMIN";#N/A,#N/A,FALSE,"PROCES";#N/A,#N/A,FALSE,"mecan";#N/A,#N/A,FALSE,"civil";#N/A,#N/A,FALSE,"CAÑER";#N/A,#N/A,FALSE,"ELEC";#N/A,#N/A,FALSE,"INSTR"}</definedName>
    <definedName name="w" hidden="1">{"DETALLE_1996",#N/A,FALSE,"flujo";"DETALLE_1997",#N/A,FALSE,"flujo";"GASTOS_INCURRIDOS_1996",#N/A,FALSE,"flujo";"GASTOS_PROGRAMADOS_PARA_1997",#N/A,FALSE,"flujo";#N/A,#N/A,FALSE,"comparat";#N/A,#N/A,FALSE,"costos";#N/A,#N/A,FALSE,"proyctrol"}</definedName>
    <definedName name="WBS_LEVEL">'[3]Budget Tracker'!$B$6:$B$116</definedName>
    <definedName name="wedD" hidden="1">#REF!</definedName>
    <definedName name="weee" hidden="1">{#N/A,#N/A,FALSE,"minas";#N/A,#N/A,FALSE,"Total_OC015";#N/A,#N/A,FALSE,"ADMIN";#N/A,#N/A,FALSE,"PROCES";#N/A,#N/A,FALSE,"civil";#N/A,#N/A,FALSE,"CAÑER";#N/A,#N/A,FALSE,"ELEC";#N/A,#N/A,FALSE,"INSTR";#N/A,#N/A,FALSE,"PDS";#N/A,#N/A,FALSE,"mecan"}</definedName>
    <definedName name="WERT" hidden="1">{#N/A,#N/A,FALSE,"masez (10)";#N/A,#N/A,FALSE,"masez (7)";#N/A,#N/A,FALSE,"masez (6)";#N/A,#N/A,FALSE,"masez (5)";#N/A,#N/A,FALSE,"masez (4)";#N/A,#N/A,FALSE,"masez (3)";#N/A,#N/A,FALSE,"masez (2)";#N/A,#N/A,FALSE,"GME";#N/A,#N/A,FALSE,"masez"}</definedName>
    <definedName name="wrn" hidden="1">{#N/A,#N/A,TRUE,"Est. de Fact.";#N/A,#N/A,TRUE,"Capitulo 19";#N/A,#N/A,TRUE,"Proyecto P855"}</definedName>
    <definedName name="wrn.Acumulados." hidden="1">{"Acumulados",#N/A,FALSE,"Acumulados"}</definedName>
    <definedName name="wrn.ang._.Summary." hidden="1">{#N/A,#N/A,FALSE,"subcontract"}</definedName>
    <definedName name="wrn.ARA." hidden="1">{"ARA1",#N/A,FALSE,"ENG-ARA";"ARAhours",#N/A,FALSE,"ENG-ARA";"ARA$",#N/A,FALSE,"ENG-ARA"}</definedName>
    <definedName name="wrn.bechtel._.hours." hidden="1">{"bechtel1",#N/A,TRUE,"BECHTEL";"bechtelhours",#N/A,TRUE,"BECHTEL";"bechtel$",#N/A,TRUE,"BECHTEL"}</definedName>
    <definedName name="wrn.Cal_Día." hidden="1">{"Cal_Día",#N/A,FALSE,"Calculo_Día"}</definedName>
    <definedName name="wrn.Camaracamion." hidden="1">{"desarrollo",#N/A,FALSE,"Cámara Camión";"resumen",#N/A,FALSE,"Cámara Camión";"eqprod",#N/A,FALSE,"Cámara Camión"}</definedName>
    <definedName name="wrn.Chancado." hidden="1">{"Chancado",#N/A,TRUE,"Report_Día"}</definedName>
    <definedName name="wrn.CIGG." hidden="1">{"CI+GG(BASE)",#N/A,FALSE,"CI+GG(BASE)";"GG",#N/A,FALSE,"CI+GG(BASE)";"CI",#N/A,FALSE,"CI+GG(BASE)"}</definedName>
    <definedName name="wrn.colorcrvs." hidden="1">{"BPCCOLOR",#N/A,FALSE,"CRVS";"NUCCOLOR",#N/A,FALSE,"CRVS";"FOSCOLOR",#N/A,FALSE,"CRVS"}</definedName>
    <definedName name="wrn.Comalco." hidden="1">{"Full",#N/A,FALSE,"Overall Summary";"Full",#N/A,FALSE,"Misc. Inputs"}</definedName>
    <definedName name="wrn.compa." hidden="1">{"cuadro1",#N/A,FALSE,"periodos entre Opciones";"cuadro2",#N/A,FALSE,"periodos entre Opciones"}</definedName>
    <definedName name="wrn.Completo."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wrn.Cost._.Office._.Report." hidden="1">{#N/A,#N/A,TRUE,"Cost Office Report";#N/A,#N/A,TRUE,"Cost Office Report B"}</definedName>
    <definedName name="wrn.data." hidden="1">{"data",#N/A,FALSE,"OP_SUM"}</definedName>
    <definedName name="wrn.Detail." hidden="1">{#N/A,#N/A,FALSE,"Matrix";#N/A,#N/A,FALSE,"Executive";#N/A,#N/A,FALSE,"Summary";#N/A,#N/A,FALSE,"Office1";#N/A,#N/A,FALSE,"Office2";#N/A,#N/A,FALSE,"Office3";#N/A,#N/A,FALSE,"Office4";#N/A,#N/A,FALSE,"Office5";#N/A,#N/A,FALSE,"Office6";#N/A,#N/A,FALSE,"Office7";#N/A,#N/A,FALSE,"Labor"}</definedName>
    <definedName name="wrn.Día._.API." hidden="1">{#N/A,#N/A,FALSE,"IC_Global";#N/A,#N/A,FALSE,"IC_Global (98-f)";#N/A,#N/A,FALSE,"Inc";#N/A,#N/A,FALSE,"CAMBIOS (2)";#N/A,#N/A,FALSE,"EXPL Inc.";#N/A,#N/A,FALSE,"HITOS98";#N/A,#N/A,FALSE,"CURVA ""S"" GLOBAL ";#N/A,#N/A,FALSE,"CURVA ""S"" 1998 "}</definedName>
    <definedName name="wrn.ep10." hidden="1">{#N/A,#N/A,FALSE,"masez (10)";#N/A,#N/A,FALSE,"masez (7)";#N/A,#N/A,FALSE,"masez (6)";#N/A,#N/A,FALSE,"masez (5)";#N/A,#N/A,FALSE,"masez (4)";#N/A,#N/A,FALSE,"masez (3)";#N/A,#N/A,FALSE,"masez (2)";#N/A,#N/A,FALSE,"GME";#N/A,#N/A,FALSE,"masez"}</definedName>
    <definedName name="wrn.EQPLIST." hidden="1">{#N/A,#N/A,TRUE,"DC";#N/A,#N/A,TRUE,"DG";#N/A,#N/A,TRUE,"EA";#N/A,#N/A,TRUE,"FA";#N/A,#N/A,TRUE,"FD";#N/A,#N/A,TRUE,"GA";#N/A,#N/A,TRUE,"GD"}</definedName>
    <definedName name="wrn.EquipShortened." hidden="1">{#N/A,#N/A,FALSE,"Equipment List"}</definedName>
    <definedName name="wrn.EXEC_1." hidden="1">{"EXEC",#N/A,TRUE,"Header";"EXEC_1",#N/A,TRUE,"Summary_1"}</definedName>
    <definedName name="wrn.EXEC_10." hidden="1">{"EXEC",#N/A,FALSE,"Header";"EXEC_3",#N/A,FALSE,"Summary_3"}</definedName>
    <definedName name="wrn.EXEC_11." hidden="1">{"EXEC",#N/A,FALSE,"Header";"EXEC_4",#N/A,FALSE,"Summary_4"}</definedName>
    <definedName name="wrn.EXEC_2." hidden="1">{"EXEC",#N/A,FALSE,"Header";"EXEC_2",#N/A,FALSE,"Summary_2"}</definedName>
    <definedName name="wrn.EXEC_3." hidden="1">{"EXEC",#N/A,FALSE,"Header";"EXEC_3",#N/A,FALSE,"Summary_3"}</definedName>
    <definedName name="wrn.EXEC_4." hidden="1">{"EXEC",#N/A,FALSE,"Header";"EXEC_4",#N/A,FALSE,"Summary_4"}</definedName>
    <definedName name="Wrn.EXEC_5." hidden="1">{"EXEC",#N/A,FALSE,"Header";"EXEC_4",#N/A,FALSE,"Summary_4"}</definedName>
    <definedName name="wrn.EXEC_6." hidden="1">{"EXEC",#N/A,FALSE,"Header";"EXEC_2",#N/A,FALSE,"Summary_2"}</definedName>
    <definedName name="wrn.EXEC_7." hidden="1">{"EXEC",#N/A,FALSE,"Header";"EXEC_3",#N/A,FALSE,"Summary_3"}</definedName>
    <definedName name="wrn.flujos." hidden="1">{"FlujoGastos",#N/A,FALSE,"Base";"FlujoGastos",#N/A,FALSE,"Buzón Tren";"FlujoGastos",#N/A,FALSE,"Buzón Camión";"FlujoGastos",#N/A,FALSE,"LHD Camión";"FlujoGastos",#N/A,FALSE,"Cámara Camión"}</definedName>
    <definedName name="wrn.Forms." hidden="1">{#N/A,#N/A,FALSE,"E-1";#N/A,#N/A,FALSE,"E-2";#N/A,#N/A,FALSE,"F-1";#N/A,#N/A,FALSE,"F-2";#N/A,#N/A,FALSE,"F-3";#N/A,#N/A,FALSE,"F-4";#N/A,#N/A,FALSE,"F-5";#N/A,#N/A,FALSE,"F-6";#N/A,#N/A,FALSE,"Matrix"}</definedName>
    <definedName name="wrn.GARO._.PERSNL._.REPORT." hidden="1">{"garo personnel",#N/A,FALSE;"personnel by location",#N/A,FALSE;"garo_graph",#N/A,FALSE}</definedName>
    <definedName name="wrn.INFORME_XPAND." hidden="1">{"DETALLE_1996",#N/A,FALSE,"flujo";"DETALLE_1997",#N/A,FALSE,"flujo";"GASTOS_INCURRIDOS_1996",#N/A,FALSE,"flujo";"GASTOS_PROGRAMADOS_PARA_1997",#N/A,FALSE,"flujo";#N/A,#N/A,FALSE,"comparat";#N/A,#N/A,FALSE,"costos";#N/A,#N/A,FALSE,"proyctrol"}</definedName>
    <definedName name="wrn.Leyes." hidden="1">{"Leyes",#N/A,FALSE,"Report_Día"}</definedName>
    <definedName name="wrn.LHDCAMION." hidden="1">{"desarrollo",#N/A,FALSE,"LHD Camión";"eqdllo",#N/A,FALSE,"LHD Camión";"eqprod",#N/A,FALSE,"LHD Camión";"Resumen",#N/A,FALSE,"LHD Camión"}</definedName>
    <definedName name="wrn.Lista._.Eq.yMaq.." hidden="1">{#N/A,#N/A,FALSE,"Lista Eq.yMaq."}</definedName>
    <definedName name="wrn.LISTADO." hidden="1">{"Práctica","Práctica",FALSE,"Práctica"}</definedName>
    <definedName name="wrn.Metalurgia." hidden="1">{"Metalurgia",#N/A,FALSE,"Report_Día"}</definedName>
    <definedName name="wrn.MO." hidden="1">{"MO(BASE)",#N/A,FALSE,"MO(BASE)";"MO(BASE)1",#N/A,FALSE,"MO(BASE)";"MO(BASE)2",#N/A,FALSE,"MO(BASE)"}</definedName>
    <definedName name="wrn.MONTHLY._.REPORT." hidden="1">{#N/A,#N/A,FALSE,"COVER 1";#N/A,#N/A,FALSE,"INTEREST";#N/A,#N/A,FALSE,"PFSR";#N/A,#N/A,FALSE,"INVOICES";#N/A,#N/A,FALSE,"COVER 2";#N/A,#N/A,FALSE,"CFSR"}</definedName>
    <definedName name="wrn.Nelson._.Summary." hidden="1">{#N/A,#N/A,FALSE,"subcontract"}</definedName>
    <definedName name="wrn.op1." hidden="1">{"cuadro1",#N/A,FALSE,"Cam buz camión Opción 1";"cuadro2",#N/A,FALSE,"Cam buz camión Opción 1";"cuadro3",#N/A,FALSE,"Cam buz camión Opción 1";"cuadro4",#N/A,FALSE,"Cam buz camión Opción 1";"cuadro5",#N/A,FALSE,"Cam buz camión Opción 1"}</definedName>
    <definedName name="wrn.op2." hidden="1">{"cuadro1",#N/A,FALSE,"LHD CAMION Opción 2";"cuadro2",#N/A,FALSE,"LHD CAMION Opción 2";"cuadro3",#N/A,FALSE,"LHD CAMION Opción 2";"cuadro4",#N/A,FALSE,"LHD CAMION Opción 2"}</definedName>
    <definedName name="wrn.op3." hidden="1">{"cuadro1",#N/A,FALSE,"Buzon Camion Opción 3";"cuadro2",#N/A,FALSE,"Buzon Camion Opción 3";"cuadro3",#N/A,FALSE,"Buzon Camion Opción 3";"cuadro4",#N/A,FALSE,"Buzon Camion Opción 3"}</definedName>
    <definedName name="wrn.op4." hidden="1">{"cuadro1",#N/A,FALSE,"Buzon FFCC Opción 4";"cuadro2",#N/A,FALSE,"Buzon FFCC Opción 4";"cuadro3",#N/A,FALSE,"Buzon FFCC Opción 4";"cuadro4",#N/A,FALSE,"Buzon FFCC Opción 4"}</definedName>
    <definedName name="wrn.op5." hidden="1">{"cuadro1",#N/A,FALSE,"Camara buz ffcc Opción 5";"cuadro2",#N/A,FALSE,"Camara buz ffcc Opción 5";"cuadro3",#N/A,FALSE,"Camara buz ffcc Opción 5";"cuadro4",#N/A,FALSE,"Camara buz ffcc Opción 5"}</definedName>
    <definedName name="wrn.PENDENCIAS." hidden="1">{#N/A,#N/A,FALSE,"GERAL";#N/A,#N/A,FALSE,"012-96";#N/A,#N/A,FALSE,"018-96";#N/A,#N/A,FALSE,"027-96";#N/A,#N/A,FALSE,"059-96";#N/A,#N/A,FALSE,"076-96";#N/A,#N/A,FALSE,"019-97";#N/A,#N/A,FALSE,"021-97";#N/A,#N/A,FALSE,"022-97";#N/A,#N/A,FALSE,"028-97"}</definedName>
    <definedName name="wrn.pendientes." hidden="1">{#N/A,#N/A,FALSE,"PEND INC";#N/A,#N/A,FALSE,"PEND MINM"}</definedName>
    <definedName name="wrn.PERF._.RPT._.GRAPHS." hidden="1">{#N/A,#N/A,FALSE,"OTHER GRAPHS";#N/A,#N/A,FALSE,"CAPITAL GRAPH"}</definedName>
    <definedName name="wrn.perfos." hidden="1">{"Perfos",#N/A,FALSE,"Report_Día"}</definedName>
    <definedName name="wrn.Presupuesto." hidden="1">{#N/A,#N/A,FALSE,"Presupuesto"}</definedName>
    <definedName name="wrn.Print._.Base._.Case._.Statements." hidden="1">{"Sens Table",#N/A,FALSE,"Timing &amp; Assumptions";#N/A,#N/A,FALSE,"Key Data &amp; Results";"Cash Flow",#N/A,FALSE,"Cash Flows";#N/A,#N/A,FALSE,"Table of Contents";"Total Op Expenses Base Case",#N/A,FALSE,"Total Op Costs";"Plant Opex Base Case",#N/A,FALSE,"Plant Operating Expenses";"Mine Opex Base Case",#N/A,FALSE,"Mine Op Costs";"View_Base",#N/A,FALSE,"Labor Summary by Operation";"View_Base",#N/A,FALSE,"Labor by Function";"Cost Base",#N/A,FALSE,"Cost Table";"Book Base",#N/A,FALSE,"Book Depreciation";"Mine Plan Base Case",#N/A,FALSE,"Mine Plan";"Unit Costs",#N/A,FALSE,"Timing &amp; Assumptions"}</definedName>
    <definedName name="wrn.Print._.Output." hidden="1">{#N/A,#N/A,FALSE,"OUTPUT SHEET "}</definedName>
    <definedName name="wrn.print1." hidden="1">{#N/A,#N/A,TRUE,"Est. de Fact.";#N/A,#N/A,TRUE,"Capitulo 19";#N/A,#N/A,TRUE,"Proyecto P855"}</definedName>
    <definedName name="wrn.PRINTBAS." hidden="1">{#N/A,#N/A,FALSE,"Total_OC015";#N/A,#N/A,FALSE,"ADMIN";#N/A,#N/A,FALSE,"PROCES";#N/A,#N/A,FALSE,"mecan";#N/A,#N/A,FALSE,"civil";#N/A,#N/A,FALSE,"CAÑER";#N/A,#N/A,FALSE,"ELEC";#N/A,#N/A,FALSE,"INSTR"}</definedName>
    <definedName name="wrn.PRINTEPRS." hidden="1">{#N/A,#N/A,FALSE,"minas";#N/A,#N/A,FALSE,"Total_OC015";#N/A,#N/A,FALSE,"ADMIN";#N/A,#N/A,FALSE,"PROCES";#N/A,#N/A,FALSE,"civil";#N/A,#N/A,FALSE,"CAÑER";#N/A,#N/A,FALSE,"ELEC";#N/A,#N/A,FALSE,"INSTR";#N/A,#N/A,FALSE,"PDS";#N/A,#N/A,FALSE,"mecan"}</definedName>
    <definedName name="wrn.printeprs1" hidden="1">{#N/A,#N/A,FALSE,"minas";#N/A,#N/A,FALSE,"Total_OC015";#N/A,#N/A,FALSE,"ADMIN";#N/A,#N/A,FALSE,"PROCES";#N/A,#N/A,FALSE,"civil";#N/A,#N/A,FALSE,"CAÑER";#N/A,#N/A,FALSE,"ELEC";#N/A,#N/A,FALSE,"INSTR";#N/A,#N/A,FALSE,"PDS";#N/A,#N/A,FALSE,"mecan"}</definedName>
    <definedName name="wrn.PROCART." hidden="1">{#N/A,#N/A,FALSE,"MAQUINA"}</definedName>
    <definedName name="wrn.Prod_Mina." hidden="1">{"Prod_Mina",#N/A,FALSE,"Report_Día"}</definedName>
    <definedName name="wrn.profiles." hidden="1">{"BPC",#N/A,FALSE,"PRO";"NUC",#N/A,FALSE,"PRO";"FOS",#N/A,FALSE,"PRO"}</definedName>
    <definedName name="wrn.Programado." hidden="1">{"Programado",#N/A,FALSE,"Programado"}</definedName>
    <definedName name="wrn.prospects." hidden="1">{#N/A,#N/A,FALSE,"FCST94";#N/A,#N/A,FALSE,"FIRM";#N/A,#N/A,FALSE,"BACK94";#N/A,#N/A,FALSE,"FCST95";#N/A,#N/A,FALSE,"BACK95";#N/A,#N/A,FALSE,"FCST96"}</definedName>
    <definedName name="wrn.Report_Día." hidden="1">{"Report_Día",#N/A,TRUE,"Report_Día"}</definedName>
    <definedName name="wrn.SE._.12._.FOT." hidden="1">{#N/A,#N/A,TRUE,"Cover";#N/A,#N/A,TRUE,"Sched 2";#N/A,#N/A,TRUE,"Sched 3";#N/A,#N/A,TRUE,"Sched 4";#N/A,#N/A,TRUE,"Sched 9"}</definedName>
    <definedName name="wrn.SUMMARY." hidden="1">{#N/A,#N/A,FALSE,"EstSum";#N/A,#N/A,FALSE,"Misc. Inputs";#N/A,#N/A,FALSE,"1601 Calcs (Water Cooling)";#N/A,#N/A,FALSE,"Equipment List";#N/A,#N/A,FALSE,"Cooling Pond"}</definedName>
    <definedName name="wrn.TODAS." hidden="1">{"RES1",#N/A,FALSE,"RESUMEN";"PROC1",#N/A,FALSE,"PROCESO";"MEC1",#N/A,FALSE,"MECANICA";"CIV1",#N/A,FALSE,"CIVIL";"CAÑ1",#N/A,FALSE,"CAÑERIAS";"ELE1",#N/A,FALSE,"ELECTRICIDAD";"INST1",#N/A,FALSE,"INSTRUMENTACION";"EST1",#N/A,FALSE,"ESTIMACION Y CONTROL"}</definedName>
    <definedName name="wrn.Total." hidden="1">{"base",#N/A,FALSE,"Overall Summary";"Full",#N/A,FALSE,"EstSum";"full",#N/A,FALSE,"Misc. Inputs";"full",#N/A,FALSE,"Equipment List";"Full",#N/A,FALSE,"1601 Calcs (Water Cooling)";"Full",#N/A,FALSE,"2341 Calcs (Tube Digest)";"Full",#N/A,FALSE,"2341 Calcs (Flash Tanks)";"Full",#N/A,FALSE,"2491 Calcs (MOL Tanks)";#N/A,#N/A,FALSE,"2501 Calcs (Liq Filt)";"Full",#N/A,FALSE,"2601 Calcs (Evaporation)";"Full",#N/A,FALSE,"2651 Calcs (Process Cond Tks)";"Full",#N/A,FALSE,"3301 Calcs (HID PHE's)";"Full",#N/A,FALSE,"3321 Calcs (O.F Tank)";"Full",#N/A,FALSE,"3322 Calcs (Precip Nos)";"Full",#N/A,FALSE,"3341 Calcs (Cyclone)";"Full",#N/A,FALSE,"3351&amp;3361 Calcs (Filters)";"Full",#N/A,FALSE,"5361 Calcs (SPS)";#N/A,#N/A,FALSE,"Electrical";#N/A,#N/A,FALSE,"Silocalcs"}</definedName>
    <definedName name="wrn.unidades." hidden="1">{#N/A,#N/A,FALSE,"RESUMEN";#N/A,#N/A,FALSE,"GG-GI";#N/A,#N/A,FALSE,"AMB";#N/A,#N/A,FALSE,"EyR";#N/A,#N/A,FALSE,"UCP";#N/A,#N/A,FALSE,"IND";#N/A,#N/A,FALSE,"LR";#N/A,#N/A,FALSE,"PRV";#N/A,#N/A,FALSE,"TÚNELES";#N/A,#N/A,FALSE,"IDT";#N/A,#N/A,FALSE,"ING"}</definedName>
    <definedName name="wsdf" hidden="1">{#N/A,#N/A,FALSE,"Total_OC015";#N/A,#N/A,FALSE,"ADMIN";#N/A,#N/A,FALSE,"PROCES";#N/A,#N/A,FALSE,"mecan";#N/A,#N/A,FALSE,"civil";#N/A,#N/A,FALSE,"CAÑER";#N/A,#N/A,FALSE,"ELEC";#N/A,#N/A,FALSE,"INSTR"}</definedName>
    <definedName name="wvu.CASHFLOW." hidden="1">{TRUE,FALSE,0.25,-14,601.5,380.25,FALSE,TRUE,TRUE,TRUE,0,24,#N/A,1,#N/A,10.703125,26.4705882352941,1,FALSE,FALSE,3,TRUE,1,FALSE,100,"Swvu.CASHFLOW.","ACwvu.CASHFLOW.",#N/A,FALSE,FALSE,0,0,0,0,2,"&amp;C
","",TRUE,TRUE,FALSE,TRUE,1,80,#N/A,#N/A,"=R1C1:R55C16",FALSE,FALSE,FALSE,FALSE,FALSE,FALSE,1,65532,65532,FALSE,FALSE,TRUE,TRUE,TRUE}</definedName>
    <definedName name="wvu.CSHFLW." hidden="1">{TRUE,TRUE,1,1.75,597.75,363,FALSE,TRUE,TRUE,TRUE,0,25,#N/A,1,#N/A,11.1875,25.1176470588235,1,FALSE,FALSE,1,TRUE,1,FALSE,100,"Swvu.CSHFLW.","ACwvu.CSHFLW.",#N/A,FALSE,FALSE,0,0,0,0,2,"&amp;C
","",TRUE,TRUE,FALSE,TRUE,1,80,#N/A,#N/A,"=R1C1:R55C16",FALSE,#N/A,#N/A,FALSE,FALSE,FALSE,1,65532,65532,FALSE,FALSE,TRUE,TRUE,TRUE}</definedName>
    <definedName name="wvu.GAITHERSBURG._.OFFICE." hidden="1">{TRUE,TRUE,-1.25,-15.5,484.5,276.75,FALSE,TRUE,TRUE,TRUE,0,32,#N/A,46,#N/A,6.36585365853659,24.7142857142857,1,FALSE,FALSE,3,TRUE,1,FALSE,75,"Swvu.GAITHERSBURG._.OFFICE.","ACwvu.GAITHERSBURG._.OFFICE.",1,FALSE,FALSE,0,0,0.25,0,1,"","",TRUE,TRUE,FALSE,FALSE,1,100,#N/A,#N/A,"=R46C34:R104C37",FALSE,#N/A,#N/A,FALSE,FALSE,FALSE,1,65532,65532,FALSE,FALSE,TRUE,TRUE,TRUE}</definedName>
    <definedName name="wvu.garo_graph." hidden="1">{TRUE,TRUE,-1.25,-15.5,484.5,276.75,FALSE,TRUE,TRUE,TRUE,0,58,#N/A,107,#N/A,16.5609756097561,24.6923076923077,1,FALSE,FALSE,3,TRUE,1,FALSE,75,"Swvu.garo_graph.","ACwvu.garo_graph.",1,FALSE,FALSE,0,0,0,0,1,"","",TRUE,TRUE,FALSE,FALSE,1,100,#N/A,#N/A,"=R108C58:R163C72",FALSE,#N/A,#N/A,FALSE,FALSE,FALSE,1,65532,65532,FALSE,FALSE,TRUE,TRUE,TRUE}</definedName>
    <definedName name="wvu.garo_personnel." hidden="1">{TRUE,TRUE,-1.25,-15.5,484.5,258,FALSE,TRUE,TRUE,TRUE,0,1,#N/A,1,#N/A,14.1333333333333,20.8,1,FALSE,FALSE,3,TRUE,1,FALSE,75,"Swvu.garo_personnel.","ACwvu.garo_personnel.",1,FALSE,FALSE,0,0,0.25,0,2,"","",TRUE,TRUE,FALSE,FALSE,1,100,#N/A,#N/A,"=R1C1:R42C17",FALSE,#N/A,#N/A,FALSE,FALSE}</definedName>
    <definedName name="wvu.headcount._.change." hidden="1">{TRUE,TRUE,-1.25,-15.5,484.5,276.75,FALSE,TRUE,TRUE,TRUE,0,18,#N/A,1,#N/A,12.5789473684211,24.1875,1,FALSE,FALSE,3,TRUE,1,FALSE,75,"Swvu.headcount._.change.","ACwvu.headcount._.change.",1,FALSE,FALSE,0,0,0.25,0,2,"","",TRUE,TRUE,FALSE,FALSE,1,100,#N/A,#N/A,"=R1C19:R42C31",FALSE,#N/A,#N/A,FALSE,FALSE,FALSE,1,65532,65532,FALSE,FALSE,TRUE,TRUE,TRUE}</definedName>
    <definedName name="wvu.personnel._.by._.location." hidden="1">{TRUE,TRUE,-1.25,-15.5,484.5,276.75,FALSE,TRUE,TRUE,TRUE,0,1,#N/A,1,#N/A,14.1333333333333,24.3125,1,FALSE,FALSE,3,TRUE,1,FALSE,75,"Swvu.personnel._.by._.location.","ACwvu.personnel._.by._.location.",1,FALSE,FALSE,0,0,0.25,0,2,"","",TRUE,TRUE,FALSE,FALSE,1,100,#N/A,#N/A,"=R1C1:R42C17",FALSE,#N/A,#N/A,FALSE,FALSE,FALSE,1,#N/A,#N/A,FALSE,FALSE,TRUE,TRUE,TRUE}</definedName>
    <definedName name="wvu.ROLLING._.3._.MONTH._.FCST." hidden="1">{TRUE,TRUE,-1.25,-15.5,484.5,276.75,FALSE,TRUE,TRUE,TRUE,0,33,#N/A,5,#N/A,17.1176470588235,23.6666666666667,1,FALSE,FALSE,3,TRUE,1,FALSE,75,"Swvu.ROLLING._.3._.MONTH._.FCST.","ACwvu.ROLLING._.3._.MONTH._.FCST.",1,FALSE,FALSE,0,0,0,0,2,"","",TRUE,TRUE,FALSE,FALSE,1,100,#N/A,#N/A,"=R1C33:R42C52",FALSE,#N/A,"Cwvu.ROLLING._.3._.MONTH._.FCST.",FALSE,FALSE,FALSE,1,65532,65532,FALSE,FALSE,TRUE,TRUE,TRUE}</definedName>
    <definedName name="ww" hidden="1">{#N/A,#N/A,FALSE,"IC_Global";#N/A,#N/A,FALSE,"IC_Global (98-f)";#N/A,#N/A,FALSE,"Inc";#N/A,#N/A,FALSE,"CAMBIOS (2)";#N/A,#N/A,FALSE,"EXPL Inc.";#N/A,#N/A,FALSE,"HITOS98";#N/A,#N/A,FALSE,"CURVA ""S"" GLOBAL ";#N/A,#N/A,FALSE,"CURVA ""S"" 1998 "}</definedName>
    <definedName name="www" hidden="1">{#N/A,#N/A,FALSE,"masez (10)";#N/A,#N/A,FALSE,"masez (7)";#N/A,#N/A,FALSE,"masez (6)";#N/A,#N/A,FALSE,"masez (5)";#N/A,#N/A,FALSE,"masez (4)";#N/A,#N/A,FALSE,"masez (3)";#N/A,#N/A,FALSE,"masez (2)";#N/A,#N/A,FALSE,"GME";#N/A,#N/A,FALSE,"masez"}</definedName>
    <definedName name="x" hidden="1">#REF!</definedName>
    <definedName name="xd" hidden="1">{#N/A,#N/A,TRUE,"Est. de Fact.";#N/A,#N/A,TRUE,"Capitulo 19";#N/A,#N/A,TRUE,"Proyecto P855"}</definedName>
    <definedName name="XDRTHR" hidden="1">{"DETALLE_1996",#N/A,FALSE,"flujo";"DETALLE_1997",#N/A,FALSE,"flujo";"GASTOS_INCURRIDOS_1996",#N/A,FALSE,"flujo";"GASTOS_PROGRAMADOS_PARA_1997",#N/A,FALSE,"flujo";#N/A,#N/A,FALSE,"comparat";#N/A,#N/A,FALSE,"costos";#N/A,#N/A,FALSE,"proyctrol"}</definedName>
    <definedName name="xsa" hidden="1">{"DETALLE_1996",#N/A,FALSE,"flujo";"DETALLE_1997",#N/A,FALSE,"flujo";"GASTOS_INCURRIDOS_1996",#N/A,FALSE,"flujo";"GASTOS_PROGRAMADOS_PARA_1997",#N/A,FALSE,"flujo";#N/A,#N/A,FALSE,"comparat";#N/A,#N/A,FALSE,"costos";#N/A,#N/A,FALSE,"proyctrol"}</definedName>
    <definedName name="xss" hidden="1">{#N/A,#N/A,FALSE,"Total_OC015";#N/A,#N/A,FALSE,"ADMIN";#N/A,#N/A,FALSE,"PROCES";#N/A,#N/A,FALSE,"mecan";#N/A,#N/A,FALSE,"civil";#N/A,#N/A,FALSE,"CAÑER";#N/A,#N/A,FALSE,"ELEC";#N/A,#N/A,FALSE,"INSTR"}</definedName>
    <definedName name="XX" hidden="1">{"EXEC",#N/A,TRUE,"Header";"EXEC_1",#N/A,TRUE,"Summary_1"}</definedName>
    <definedName name="xxx" hidden="1">{"Sens Table",#N/A,FALSE,"Timing &amp; Assumptions";#N/A,#N/A,FALSE,"Key Data &amp; Results";"Cash Flow",#N/A,FALSE,"Cash Flows";#N/A,#N/A,FALSE,"Table of Contents";"Total Op Expenses Base Case",#N/A,FALSE,"Total Op Costs";"Plant Opex Base Case",#N/A,FALSE,"Plant Operating Expenses";"Mine Opex Base Case",#N/A,FALSE,"Mine Op Costs";"View_Base",#N/A,FALSE,"Labor Summary by Operation";"View_Base",#N/A,FALSE,"Labor by Function";"Cost Base",#N/A,FALSE,"Cost Table";"Book Base",#N/A,FALSE,"Book Depreciation";"Mine Plan Base Case",#N/A,FALSE,"Mine Plan";"Unit Costs",#N/A,FALSE,"Timing &amp; Assumptions"}</definedName>
    <definedName name="XXXX" hidden="1">{"DETALLE_1996",#N/A,FALSE,"flujo";"DETALLE_1997",#N/A,FALSE,"flujo";"GASTOS_INCURRIDOS_1996",#N/A,FALSE,"flujo";"GASTOS_PROGRAMADOS_PARA_1997",#N/A,FALSE,"flujo";#N/A,#N/A,FALSE,"comparat";#N/A,#N/A,FALSE,"costos";#N/A,#N/A,FALSE,"proyctrol"}</definedName>
    <definedName name="xxxx1" hidden="1">{"DETALLE_1996",#N/A,FALSE,"flujo";"DETALLE_1997",#N/A,FALSE,"flujo";"GASTOS_INCURRIDOS_1996",#N/A,FALSE,"flujo";"GASTOS_PROGRAMADOS_PARA_1997",#N/A,FALSE,"flujo";#N/A,#N/A,FALSE,"comparat";#N/A,#N/A,FALSE,"costos";#N/A,#N/A,FALSE,"proyctrol"}</definedName>
    <definedName name="y" hidden="1">{#N/A,#N/A,TRUE,"Est. de Fact.";#N/A,#N/A,TRUE,"Capitulo 19";#N/A,#N/A,TRUE,"Proyecto P855"}</definedName>
    <definedName name="ytjutyur" hidden="1">{#N/A,#N/A,FALSE,"masez (10)";#N/A,#N/A,FALSE,"masez (7)";#N/A,#N/A,FALSE,"masez (6)";#N/A,#N/A,FALSE,"masez (5)";#N/A,#N/A,FALSE,"masez (4)";#N/A,#N/A,FALSE,"masez (3)";#N/A,#N/A,FALSE,"masez (2)";#N/A,#N/A,FALSE,"GME";#N/A,#N/A,FALSE,"masez"}</definedName>
    <definedName name="yuk" hidden="1">{#N/A,#N/A,TRUE,"Est. de Fact.";#N/A,#N/A,TRUE,"Capitulo 19";#N/A,#N/A,TRUE,"Proyecto P855"}</definedName>
    <definedName name="yuku" hidden="1">{"DETALLE_1996",#N/A,FALSE,"flujo";"DETALLE_1997",#N/A,FALSE,"flujo";"GASTOS_INCURRIDOS_1996",#N/A,FALSE,"flujo";"GASTOS_PROGRAMADOS_PARA_1997",#N/A,FALSE,"flujo";#N/A,#N/A,FALSE,"comparat";#N/A,#N/A,FALSE,"costos";#N/A,#N/A,FALSE,"proyctrol"}</definedName>
    <definedName name="yy" hidden="1">{#N/A,#N/A,FALSE,"Total_OC015";#N/A,#N/A,FALSE,"ADMIN";#N/A,#N/A,FALSE,"PROCES";#N/A,#N/A,FALSE,"mecan";#N/A,#N/A,FALSE,"civil";#N/A,#N/A,FALSE,"CAÑER";#N/A,#N/A,FALSE,"ELEC";#N/A,#N/A,FALSE,"INSTR"}</definedName>
    <definedName name="z" hidden="1">{"DETALLE_1996",#N/A,FALSE,"flujo";"DETALLE_1997",#N/A,FALSE,"flujo";"GASTOS_INCURRIDOS_1996",#N/A,FALSE,"flujo";"GASTOS_PROGRAMADOS_PARA_1997",#N/A,FALSE,"flujo";#N/A,#N/A,FALSE,"comparat";#N/A,#N/A,FALSE,"costos";#N/A,#N/A,FALSE,"proyctrol"}</definedName>
    <definedName name="Z_0495A18E_E329_11D5_B4A6_00508BDB88CF_.wvu.PrintTitles" hidden="1">#REF!,#REF!</definedName>
    <definedName name="Z_0B6DCAB3_0C05_11D6_B46A_0002A5863B5D_.wvu.PrintTitles" hidden="1">#REF!,#REF!</definedName>
    <definedName name="Z_1D1CC6C3_E7FE_11D5_B431_0002A5E0DFB2_.wvu.PrintTitles" hidden="1">#REF!,#REF!</definedName>
    <definedName name="Z_643436C3_26BB_11D6_9D08_0002A5E3F096_.wvu.PrintTitles" hidden="1">#REF!,#REF!</definedName>
    <definedName name="Z_66F3A4F2_2C30_11D6_B712_00805FD77286_.wvu.PrintTitles" hidden="1">#REF!,#REF!</definedName>
    <definedName name="Z_7A052380_7D70_11CF_8A56_006097109093_.wvu.Cols" hidden="1">#REF!</definedName>
    <definedName name="Z_7A052380_7D70_11CF_8A56_006097109093_.wvu.Rows" hidden="1">#REF!,#REF!</definedName>
    <definedName name="Z_A3AB2944_E33D_11D5_9D1B_00508B95C9AB_.wvu.PrintTitles" hidden="1">#REF!,#REF!</definedName>
    <definedName name="Z_A75F49D2_3660_11D6_B454_00508BF1A9ED_.wvu.PrintTitles" hidden="1">#REF!,#REF!</definedName>
    <definedName name="Z_CEF2306C_2787_11D6_B46E_0002A5E0DFB2_.wvu.PrintTitles" hidden="1">#REF!,#REF!</definedName>
    <definedName name="Z_E024B424_A961_11D3_8654_006097109096_.wvu.Cols" hidden="1">#REF!</definedName>
    <definedName name="Z_E024B424_A961_11D3_8654_006097109096_.wvu.Rows" hidden="1">#REF!,#REF!</definedName>
    <definedName name="zz" hidden="1">{"Sens Table",#N/A,FALSE,"Timing &amp; Assumptions";#N/A,#N/A,FALSE,"Key Data &amp; Results";"Cash Flow",#N/A,FALSE,"Cash Flows";#N/A,#N/A,FALSE,"Table of Contents";"Total Op Expenses Base Case",#N/A,FALSE,"Total Op Costs";"Plant Opex Base Case",#N/A,FALSE,"Plant Operating Expenses";"Mine Opex Base Case",#N/A,FALSE,"Mine Op Costs";"View_Base",#N/A,FALSE,"Labor Summary by Operation";"View_Base",#N/A,FALSE,"Labor by Function";"Cost Base",#N/A,FALSE,"Cost Table";"Book Base",#N/A,FALSE,"Book Depreciation";"Mine Plan Base Case",#N/A,FALSE,"Mine Plan";"Unit Costs",#N/A,FALSE,"Timing &amp; Assumptions"}</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3" i="20" l="1" a="1"/>
  <c r="M3" i="20" s="1"/>
  <c r="M2" i="20" a="1"/>
  <c r="M2" i="20" s="1"/>
  <c r="M4" i="20" a="1"/>
  <c r="M4" i="20" s="1"/>
  <c r="M5" i="20" a="1"/>
  <c r="M5" i="20" s="1"/>
  <c r="M6" i="20" a="1"/>
  <c r="M6" i="20" s="1"/>
  <c r="M7" i="20" a="1"/>
  <c r="M7" i="20" s="1"/>
  <c r="M8" i="20" a="1"/>
  <c r="M8" i="20" s="1"/>
  <c r="M9" i="20" a="1"/>
  <c r="M9" i="20" s="1"/>
  <c r="M10" i="20" a="1"/>
  <c r="M10" i="20" s="1"/>
  <c r="M11" i="20" a="1"/>
  <c r="M11" i="20" s="1"/>
  <c r="M12" i="20" a="1"/>
  <c r="M12" i="20" s="1"/>
  <c r="M13" i="20" a="1"/>
  <c r="M13" i="20" s="1"/>
  <c r="M14" i="20" a="1"/>
  <c r="M14" i="20" s="1"/>
  <c r="M15" i="20" a="1"/>
  <c r="M15" i="20" s="1"/>
  <c r="M16" i="20" a="1"/>
  <c r="M16" i="20" s="1"/>
  <c r="M17" i="20" a="1"/>
  <c r="M17" i="20" s="1"/>
  <c r="M18" i="20" a="1"/>
  <c r="M18" i="20" s="1"/>
  <c r="M19" i="20" a="1"/>
  <c r="M19" i="20" s="1"/>
  <c r="M20" i="20" a="1"/>
  <c r="M20" i="20" s="1"/>
  <c r="M21" i="20" a="1"/>
  <c r="M21" i="20" s="1"/>
  <c r="M22" i="20" a="1"/>
  <c r="M22" i="20" s="1"/>
  <c r="M23" i="20" a="1"/>
  <c r="M23" i="20" s="1"/>
  <c r="M24" i="20" a="1"/>
  <c r="M24" i="20" s="1"/>
  <c r="M25" i="20" a="1"/>
  <c r="M25" i="20" s="1"/>
  <c r="M26" i="20" a="1"/>
  <c r="M26" i="20" s="1"/>
  <c r="M27" i="20" a="1"/>
  <c r="M27" i="20" s="1"/>
  <c r="M28" i="20" a="1"/>
  <c r="M28" i="20" s="1"/>
  <c r="M29" i="20" a="1"/>
  <c r="M29" i="20" s="1"/>
  <c r="M30" i="20" a="1"/>
  <c r="M30" i="20" s="1"/>
  <c r="M31" i="20" a="1"/>
  <c r="M31" i="20" s="1"/>
  <c r="M32" i="20" a="1"/>
  <c r="M32" i="20" s="1"/>
  <c r="M33" i="20" a="1"/>
  <c r="M33" i="20" s="1"/>
  <c r="M34" i="20" a="1"/>
  <c r="M34" i="20" s="1"/>
  <c r="M35" i="20" a="1"/>
  <c r="M35" i="20" s="1"/>
  <c r="M36" i="20" a="1"/>
  <c r="M36" i="20" s="1"/>
  <c r="M37" i="20" a="1"/>
  <c r="M37" i="20" s="1"/>
  <c r="M38" i="20" a="1"/>
  <c r="M38" i="20" s="1"/>
  <c r="M39" i="20" a="1"/>
  <c r="M39" i="20" s="1"/>
  <c r="M40" i="20" a="1"/>
  <c r="M40" i="20" s="1"/>
  <c r="M41" i="20" a="1"/>
  <c r="M41" i="20" s="1"/>
  <c r="M42" i="20" a="1"/>
  <c r="M42" i="20" s="1"/>
  <c r="M43" i="20" a="1"/>
  <c r="M43" i="20" s="1"/>
  <c r="M44" i="20" a="1"/>
  <c r="M44" i="20" s="1"/>
  <c r="M45" i="20" a="1"/>
  <c r="M45" i="20" s="1"/>
  <c r="M46" i="20" a="1"/>
  <c r="M46" i="20" s="1"/>
  <c r="M47" i="20" a="1"/>
  <c r="M47" i="20" s="1"/>
  <c r="M48" i="20" a="1"/>
  <c r="M48" i="20" s="1"/>
  <c r="M49" i="20" a="1"/>
  <c r="M49" i="20" s="1"/>
  <c r="M50" i="20" a="1"/>
  <c r="M50" i="20" s="1"/>
  <c r="M51" i="20" a="1"/>
  <c r="M51" i="20" s="1"/>
  <c r="M52" i="20" a="1"/>
  <c r="M52" i="20" s="1"/>
  <c r="M53" i="20" a="1"/>
  <c r="M53" i="20" s="1"/>
  <c r="M54" i="20" a="1"/>
  <c r="M54" i="20" s="1"/>
  <c r="M55" i="20" a="1"/>
  <c r="M55" i="20" s="1"/>
  <c r="M56" i="20" a="1"/>
  <c r="M56" i="20" s="1"/>
  <c r="M57" i="20" a="1"/>
  <c r="M57" i="20" s="1"/>
  <c r="M58" i="20" a="1"/>
  <c r="M58" i="20" s="1"/>
  <c r="M59" i="20" a="1"/>
  <c r="M59" i="20" s="1"/>
  <c r="M60" i="20" a="1"/>
  <c r="M60" i="20" s="1"/>
  <c r="M61" i="20" a="1"/>
  <c r="M61" i="20" s="1"/>
  <c r="M62" i="20" a="1"/>
  <c r="M62" i="20" s="1"/>
  <c r="M63" i="20" a="1"/>
  <c r="M63" i="20" s="1"/>
  <c r="M64" i="20" a="1"/>
  <c r="M64" i="20" s="1"/>
  <c r="M65" i="20" a="1"/>
  <c r="M65" i="20" s="1"/>
  <c r="M66" i="20" a="1"/>
  <c r="M66" i="20" s="1"/>
  <c r="H2" i="20" a="1"/>
  <c r="H2" i="20" s="1"/>
  <c r="A2" i="20" a="1"/>
  <c r="A2" i="20" s="1"/>
  <c r="F2" i="20" s="1" a="1"/>
  <c r="F2" i="20" s="1"/>
  <c r="H4" i="20" l="1" a="1"/>
  <c r="H4" i="20" s="1"/>
  <c r="H14" i="20" a="1"/>
  <c r="H14" i="20" s="1"/>
  <c r="H13" i="20" a="1"/>
  <c r="H13" i="20" s="1"/>
  <c r="H12" i="20" a="1"/>
  <c r="H12" i="20" s="1"/>
  <c r="H18" i="20" a="1"/>
  <c r="H18" i="20" s="1"/>
  <c r="G31" i="20" a="1"/>
  <c r="G31" i="20" s="1"/>
  <c r="H11" i="20" a="1"/>
  <c r="H11" i="20" s="1"/>
  <c r="H19" i="20" a="1"/>
  <c r="H19" i="20" s="1"/>
  <c r="G49" i="20" a="1"/>
  <c r="G49" i="20" s="1"/>
  <c r="G64" i="20" a="1"/>
  <c r="G64" i="20" s="1"/>
  <c r="H33" i="20" a="1"/>
  <c r="H33" i="20" s="1"/>
  <c r="G47" i="20" a="1"/>
  <c r="G47" i="20" s="1"/>
  <c r="G15" i="20" a="1"/>
  <c r="G15" i="20" s="1"/>
  <c r="G62" i="20" a="1"/>
  <c r="G62" i="20" s="1"/>
  <c r="H31" i="20" a="1"/>
  <c r="H31" i="20" s="1"/>
  <c r="G29" i="20" a="1"/>
  <c r="G29" i="20" s="1"/>
  <c r="H46" i="20" a="1"/>
  <c r="H46" i="20" s="1"/>
  <c r="H61" i="20" a="1"/>
  <c r="H61" i="20" s="1"/>
  <c r="G27" i="20" a="1"/>
  <c r="G27" i="20" s="1"/>
  <c r="H44" i="20" a="1"/>
  <c r="H44" i="20" s="1"/>
  <c r="H59" i="20" a="1"/>
  <c r="H59" i="20" s="1"/>
  <c r="G41" i="20" a="1"/>
  <c r="G41" i="20" s="1"/>
  <c r="G9" i="20" a="1"/>
  <c r="G9" i="20" s="1"/>
  <c r="H58" i="20" a="1"/>
  <c r="H58" i="20" s="1"/>
  <c r="H42" i="20" a="1"/>
  <c r="H42" i="20" s="1"/>
  <c r="H26" i="20" a="1"/>
  <c r="H26" i="20" s="1"/>
  <c r="H10" i="20" a="1"/>
  <c r="H10" i="20" s="1"/>
  <c r="G57" i="20" a="1"/>
  <c r="G57" i="20" s="1"/>
  <c r="G25" i="20" a="1"/>
  <c r="G25" i="20" s="1"/>
  <c r="F66" i="20" a="1"/>
  <c r="F66" i="20" s="1"/>
  <c r="G56" i="20" a="1"/>
  <c r="G56" i="20" s="1"/>
  <c r="G40" i="20" a="1"/>
  <c r="G40" i="20" s="1"/>
  <c r="G24" i="20" a="1"/>
  <c r="G24" i="20" s="1"/>
  <c r="G8" i="20" a="1"/>
  <c r="G8" i="20" s="1"/>
  <c r="H57" i="20" a="1"/>
  <c r="H57" i="20" s="1"/>
  <c r="H41" i="20" a="1"/>
  <c r="H41" i="20" s="1"/>
  <c r="H25" i="20" a="1"/>
  <c r="H25" i="20" s="1"/>
  <c r="H9" i="20" a="1"/>
  <c r="H9" i="20" s="1"/>
  <c r="G33" i="20" a="1"/>
  <c r="G33" i="20" s="1"/>
  <c r="G32" i="20" a="1"/>
  <c r="G32" i="20" s="1"/>
  <c r="H8" i="20" a="1"/>
  <c r="H8" i="20" s="1"/>
  <c r="G66" i="20" a="1"/>
  <c r="G66" i="20" s="1"/>
  <c r="G18" i="20" a="1"/>
  <c r="G18" i="20" s="1"/>
  <c r="G65" i="20" a="1"/>
  <c r="G65" i="20" s="1"/>
  <c r="H34" i="20" a="1"/>
  <c r="H34" i="20" s="1"/>
  <c r="G16" i="20" a="1"/>
  <c r="G16" i="20" s="1"/>
  <c r="G63" i="20" a="1"/>
  <c r="G63" i="20" s="1"/>
  <c r="H32" i="20" a="1"/>
  <c r="H32" i="20" s="1"/>
  <c r="G46" i="20" a="1"/>
  <c r="G46" i="20" s="1"/>
  <c r="G14" i="20" a="1"/>
  <c r="G14" i="20" s="1"/>
  <c r="G61" i="20" a="1"/>
  <c r="G61" i="20" s="1"/>
  <c r="H62" i="20" a="1"/>
  <c r="H62" i="20" s="1"/>
  <c r="G44" i="20" a="1"/>
  <c r="G44" i="20" s="1"/>
  <c r="G12" i="20" a="1"/>
  <c r="G12" i="20" s="1"/>
  <c r="G59" i="20" a="1"/>
  <c r="G59" i="20" s="1"/>
  <c r="G11" i="20" a="1"/>
  <c r="G11" i="20" s="1"/>
  <c r="G42" i="20" a="1"/>
  <c r="G42" i="20" s="1"/>
  <c r="H43" i="20" a="1"/>
  <c r="H43" i="20" s="1"/>
  <c r="G55" i="20" a="1"/>
  <c r="G55" i="20" s="1"/>
  <c r="G23" i="20" a="1"/>
  <c r="G23" i="20" s="1"/>
  <c r="H24" i="20" a="1"/>
  <c r="H24" i="20" s="1"/>
  <c r="F54" i="20" a="1"/>
  <c r="F54" i="20" s="1"/>
  <c r="G54" i="20" a="1"/>
  <c r="G54" i="20" s="1"/>
  <c r="G38" i="20" a="1"/>
  <c r="G38" i="20" s="1"/>
  <c r="G22" i="20" a="1"/>
  <c r="G22" i="20" s="1"/>
  <c r="G6" i="20" a="1"/>
  <c r="G6" i="20" s="1"/>
  <c r="H55" i="20" a="1"/>
  <c r="H55" i="20" s="1"/>
  <c r="H39" i="20" a="1"/>
  <c r="H39" i="20" s="1"/>
  <c r="H23" i="20" a="1"/>
  <c r="H23" i="20" s="1"/>
  <c r="H7" i="20" a="1"/>
  <c r="H7" i="20" s="1"/>
  <c r="H35" i="20" a="1"/>
  <c r="H35" i="20" s="1"/>
  <c r="G17" i="20" a="1"/>
  <c r="G17" i="20" s="1"/>
  <c r="G48" i="20" a="1"/>
  <c r="G48" i="20" s="1"/>
  <c r="H65" i="20" a="1"/>
  <c r="H65" i="20" s="1"/>
  <c r="H16" i="20" a="1"/>
  <c r="H16" i="20" s="1"/>
  <c r="G30" i="20" a="1"/>
  <c r="G30" i="20" s="1"/>
  <c r="H47" i="20" a="1"/>
  <c r="H47" i="20" s="1"/>
  <c r="G45" i="20" a="1"/>
  <c r="G45" i="20" s="1"/>
  <c r="H30" i="20" a="1"/>
  <c r="H30" i="20" s="1"/>
  <c r="G28" i="20" a="1"/>
  <c r="G28" i="20" s="1"/>
  <c r="G43" i="20" a="1"/>
  <c r="G43" i="20" s="1"/>
  <c r="H28" i="20" a="1"/>
  <c r="H28" i="20" s="1"/>
  <c r="G26" i="20" a="1"/>
  <c r="G26" i="20" s="1"/>
  <c r="H27" i="20" a="1"/>
  <c r="H27" i="20" s="1"/>
  <c r="G39" i="20" a="1"/>
  <c r="G39" i="20" s="1"/>
  <c r="H40" i="20" a="1"/>
  <c r="H40" i="20" s="1"/>
  <c r="D33" i="20" a="1"/>
  <c r="D33" i="20" s="1"/>
  <c r="G53" i="20" a="1"/>
  <c r="G53" i="20" s="1"/>
  <c r="G37" i="20" a="1"/>
  <c r="G37" i="20" s="1"/>
  <c r="G21" i="20" a="1"/>
  <c r="G21" i="20" s="1"/>
  <c r="G5" i="20" a="1"/>
  <c r="G5" i="20" s="1"/>
  <c r="H54" i="20" a="1"/>
  <c r="H54" i="20" s="1"/>
  <c r="H38" i="20" a="1"/>
  <c r="H38" i="20" s="1"/>
  <c r="H22" i="20" a="1"/>
  <c r="H22" i="20" s="1"/>
  <c r="H6" i="20" a="1"/>
  <c r="H6" i="20" s="1"/>
  <c r="G50" i="20" a="1"/>
  <c r="G50" i="20" s="1"/>
  <c r="H51" i="20" a="1"/>
  <c r="H51" i="20" s="1"/>
  <c r="H50" i="20" a="1"/>
  <c r="H50" i="20" s="1"/>
  <c r="H17" i="20" a="1"/>
  <c r="H17" i="20" s="1"/>
  <c r="H48" i="20" a="1"/>
  <c r="H48" i="20" s="1"/>
  <c r="H15" i="20" a="1"/>
  <c r="H15" i="20" s="1"/>
  <c r="G13" i="20" a="1"/>
  <c r="G13" i="20" s="1"/>
  <c r="G60" i="20" a="1"/>
  <c r="G60" i="20" s="1"/>
  <c r="H45" i="20" a="1"/>
  <c r="H45" i="20" s="1"/>
  <c r="H60" i="20" a="1"/>
  <c r="H60" i="20" s="1"/>
  <c r="G58" i="20" a="1"/>
  <c r="G58" i="20" s="1"/>
  <c r="G10" i="20" a="1"/>
  <c r="G10" i="20" s="1"/>
  <c r="D65" i="20" a="1"/>
  <c r="D65" i="20" s="1"/>
  <c r="G7" i="20" a="1"/>
  <c r="G7" i="20" s="1"/>
  <c r="H56" i="20" a="1"/>
  <c r="H56" i="20" s="1"/>
  <c r="G2" i="20" a="1"/>
  <c r="G2" i="20" s="1"/>
  <c r="G52" i="20" a="1"/>
  <c r="G52" i="20" s="1"/>
  <c r="G36" i="20" a="1"/>
  <c r="G36" i="20" s="1"/>
  <c r="G20" i="20" a="1"/>
  <c r="G20" i="20" s="1"/>
  <c r="G4" i="20" a="1"/>
  <c r="G4" i="20" s="1"/>
  <c r="H53" i="20" a="1"/>
  <c r="H53" i="20" s="1"/>
  <c r="H37" i="20" a="1"/>
  <c r="H37" i="20" s="1"/>
  <c r="H21" i="20" a="1"/>
  <c r="H21" i="20" s="1"/>
  <c r="H5" i="20" a="1"/>
  <c r="H5" i="20" s="1"/>
  <c r="G34" i="20" a="1"/>
  <c r="G34" i="20" s="1"/>
  <c r="H66" i="20" a="1"/>
  <c r="H66" i="20" s="1"/>
  <c r="H49" i="20" a="1"/>
  <c r="H49" i="20" s="1"/>
  <c r="H64" i="20" a="1"/>
  <c r="H64" i="20" s="1"/>
  <c r="H63" i="20" a="1"/>
  <c r="H63" i="20" s="1"/>
  <c r="H29" i="20" a="1"/>
  <c r="H29" i="20" s="1"/>
  <c r="G51" i="20" a="1"/>
  <c r="G51" i="20" s="1"/>
  <c r="G35" i="20" a="1"/>
  <c r="G35" i="20" s="1"/>
  <c r="G19" i="20" a="1"/>
  <c r="G19" i="20" s="1"/>
  <c r="G3" i="20" a="1"/>
  <c r="G3" i="20" s="1"/>
  <c r="H52" i="20" a="1"/>
  <c r="H52" i="20" s="1"/>
  <c r="H36" i="20" a="1"/>
  <c r="H36" i="20" s="1"/>
  <c r="H20" i="20" a="1"/>
  <c r="H20" i="20" s="1"/>
  <c r="H3" i="20" a="1"/>
  <c r="H3" i="20" s="1"/>
  <c r="D2" i="20" a="1"/>
  <c r="D2" i="20" s="1"/>
  <c r="E2" i="20" a="1"/>
  <c r="E2" i="20" s="1"/>
  <c r="C2" i="20" a="1"/>
  <c r="C2" i="20" s="1"/>
  <c r="F62" i="20" a="1"/>
  <c r="F62" i="20" s="1"/>
  <c r="D53" i="20" a="1"/>
  <c r="D53" i="20" s="1"/>
  <c r="F30" i="20" a="1"/>
  <c r="F30" i="20" s="1"/>
  <c r="D25" i="20" a="1"/>
  <c r="D25" i="20" s="1"/>
  <c r="F22" i="20" a="1"/>
  <c r="F22" i="20" s="1"/>
  <c r="D17" i="20" a="1"/>
  <c r="D17" i="20" s="1"/>
  <c r="F14" i="20" a="1"/>
  <c r="F14" i="20" s="1"/>
  <c r="F10" i="20" a="1"/>
  <c r="F10" i="20" s="1"/>
  <c r="D9" i="20" a="1"/>
  <c r="D9" i="20" s="1"/>
  <c r="F6" i="20" a="1"/>
  <c r="F6" i="20" s="1"/>
  <c r="C65" i="20" a="1"/>
  <c r="C65" i="20" s="1"/>
  <c r="C61" i="20" a="1"/>
  <c r="C61" i="20" s="1"/>
  <c r="C57" i="20" a="1"/>
  <c r="C57" i="20" s="1"/>
  <c r="E54" i="20" a="1"/>
  <c r="E54" i="20" s="1"/>
  <c r="E50" i="20" a="1"/>
  <c r="E50" i="20" s="1"/>
  <c r="C45" i="20" a="1"/>
  <c r="C45" i="20" s="1"/>
  <c r="E42" i="20" a="1"/>
  <c r="E42" i="20" s="1"/>
  <c r="C41" i="20" a="1"/>
  <c r="C41" i="20" s="1"/>
  <c r="E38" i="20" a="1"/>
  <c r="E38" i="20" s="1"/>
  <c r="C37" i="20" a="1"/>
  <c r="C37" i="20" s="1"/>
  <c r="E34" i="20" a="1"/>
  <c r="E34" i="20" s="1"/>
  <c r="C33" i="20" a="1"/>
  <c r="C33" i="20" s="1"/>
  <c r="E30" i="20" a="1"/>
  <c r="E30" i="20" s="1"/>
  <c r="E26" i="20" a="1"/>
  <c r="E26" i="20" s="1"/>
  <c r="C25" i="20" a="1"/>
  <c r="C25" i="20" s="1"/>
  <c r="E22" i="20" a="1"/>
  <c r="E22" i="20" s="1"/>
  <c r="C21" i="20" a="1"/>
  <c r="C21" i="20" s="1"/>
  <c r="E18" i="20" a="1"/>
  <c r="E18" i="20" s="1"/>
  <c r="C17" i="20" a="1"/>
  <c r="C17" i="20" s="1"/>
  <c r="E14" i="20" a="1"/>
  <c r="E14" i="20" s="1"/>
  <c r="C13" i="20" a="1"/>
  <c r="C13" i="20" s="1"/>
  <c r="E10" i="20" a="1"/>
  <c r="E10" i="20" s="1"/>
  <c r="C9" i="20" a="1"/>
  <c r="C9" i="20" s="1"/>
  <c r="E6" i="20" a="1"/>
  <c r="E6" i="20" s="1"/>
  <c r="C5" i="20" a="1"/>
  <c r="C5" i="20" s="1"/>
  <c r="F50" i="20" a="1"/>
  <c r="F50" i="20" s="1"/>
  <c r="F38" i="20" a="1"/>
  <c r="F38" i="20" s="1"/>
  <c r="F26" i="20" a="1"/>
  <c r="F26" i="20" s="1"/>
  <c r="D21" i="20" a="1"/>
  <c r="D21" i="20" s="1"/>
  <c r="F18" i="20" a="1"/>
  <c r="F18" i="20" s="1"/>
  <c r="D13" i="20" a="1"/>
  <c r="D13" i="20" s="1"/>
  <c r="D5" i="20" a="1"/>
  <c r="D5" i="20" s="1"/>
  <c r="E66" i="20" a="1"/>
  <c r="E66" i="20" s="1"/>
  <c r="E62" i="20" a="1"/>
  <c r="E62" i="20" s="1"/>
  <c r="E58" i="20" a="1"/>
  <c r="E58" i="20" s="1"/>
  <c r="C53" i="20" a="1"/>
  <c r="C53" i="20" s="1"/>
  <c r="C49" i="20" a="1"/>
  <c r="C49" i="20" s="1"/>
  <c r="E46" i="20" a="1"/>
  <c r="E46" i="20" s="1"/>
  <c r="C29" i="20" a="1"/>
  <c r="C29" i="20" s="1"/>
  <c r="F35" i="20" a="1"/>
  <c r="F35" i="20" s="1"/>
  <c r="F27" i="20" a="1"/>
  <c r="F27" i="20" s="1"/>
  <c r="F23" i="20" a="1"/>
  <c r="F23" i="20" s="1"/>
  <c r="D22" i="20" a="1"/>
  <c r="D22" i="20" s="1"/>
  <c r="F19" i="20" a="1"/>
  <c r="F19" i="20" s="1"/>
  <c r="D18" i="20" a="1"/>
  <c r="D18" i="20" s="1"/>
  <c r="F15" i="20" a="1"/>
  <c r="F15" i="20" s="1"/>
  <c r="D14" i="20" a="1"/>
  <c r="D14" i="20" s="1"/>
  <c r="F11" i="20" a="1"/>
  <c r="F11" i="20" s="1"/>
  <c r="D10" i="20" a="1"/>
  <c r="D10" i="20" s="1"/>
  <c r="F7" i="20" a="1"/>
  <c r="F7" i="20" s="1"/>
  <c r="D6" i="20" a="1"/>
  <c r="D6" i="20" s="1"/>
  <c r="E31" i="20" a="1"/>
  <c r="E31" i="20" s="1"/>
  <c r="E19" i="20" a="1"/>
  <c r="E19" i="20" s="1"/>
  <c r="C10" i="20" a="1"/>
  <c r="C10" i="20" s="1"/>
  <c r="E7" i="20" a="1"/>
  <c r="E7" i="20" s="1"/>
  <c r="C6" i="20" a="1"/>
  <c r="C6" i="20" s="1"/>
  <c r="D57" i="20" a="1"/>
  <c r="D57" i="20" s="1"/>
  <c r="D49" i="20" a="1"/>
  <c r="D49" i="20" s="1"/>
  <c r="D41" i="20" a="1"/>
  <c r="D41" i="20" s="1"/>
  <c r="F63" i="20" a="1"/>
  <c r="F63" i="20" s="1"/>
  <c r="D54" i="20" a="1"/>
  <c r="D54" i="20" s="1"/>
  <c r="D42" i="20" a="1"/>
  <c r="D42" i="20" s="1"/>
  <c r="F31" i="20" a="1"/>
  <c r="F31" i="20" s="1"/>
  <c r="D26" i="20" a="1"/>
  <c r="D26" i="20" s="1"/>
  <c r="C66" i="20" a="1"/>
  <c r="C66" i="20" s="1"/>
  <c r="E55" i="20" a="1"/>
  <c r="E55" i="20" s="1"/>
  <c r="C50" i="20" a="1"/>
  <c r="C50" i="20" s="1"/>
  <c r="E35" i="20" a="1"/>
  <c r="E35" i="20" s="1"/>
  <c r="E11" i="20" a="1"/>
  <c r="E11" i="20" s="1"/>
  <c r="F3" i="20" a="1"/>
  <c r="F3" i="20" s="1"/>
  <c r="D45" i="20" a="1"/>
  <c r="D45" i="20" s="1"/>
  <c r="D62" i="20" a="1"/>
  <c r="D62" i="20" s="1"/>
  <c r="F55" i="20" a="1"/>
  <c r="F55" i="20" s="1"/>
  <c r="D50" i="20" a="1"/>
  <c r="D50" i="20" s="1"/>
  <c r="F43" i="20" a="1"/>
  <c r="F43" i="20" s="1"/>
  <c r="F39" i="20" a="1"/>
  <c r="F39" i="20" s="1"/>
  <c r="C62" i="20" a="1"/>
  <c r="C62" i="20" s="1"/>
  <c r="E47" i="20" a="1"/>
  <c r="E47" i="20" s="1"/>
  <c r="E43" i="20" a="1"/>
  <c r="E43" i="20" s="1"/>
  <c r="E39" i="20" a="1"/>
  <c r="E39" i="20" s="1"/>
  <c r="C34" i="20" a="1"/>
  <c r="C34" i="20" s="1"/>
  <c r="C26" i="20" a="1"/>
  <c r="C26" i="20" s="1"/>
  <c r="C14" i="20" a="1"/>
  <c r="C14" i="20" s="1"/>
  <c r="E3" i="20" a="1"/>
  <c r="E3" i="20" s="1"/>
  <c r="F64" i="20" a="1"/>
  <c r="F64" i="20" s="1"/>
  <c r="D63" i="20" a="1"/>
  <c r="D63" i="20" s="1"/>
  <c r="F60" i="20" a="1"/>
  <c r="F60" i="20" s="1"/>
  <c r="D59" i="20" a="1"/>
  <c r="D59" i="20" s="1"/>
  <c r="F56" i="20" a="1"/>
  <c r="F56" i="20" s="1"/>
  <c r="D55" i="20" a="1"/>
  <c r="D55" i="20" s="1"/>
  <c r="F52" i="20" a="1"/>
  <c r="F52" i="20" s="1"/>
  <c r="D51" i="20" a="1"/>
  <c r="D51" i="20" s="1"/>
  <c r="F48" i="20" a="1"/>
  <c r="F48" i="20" s="1"/>
  <c r="D47" i="20" a="1"/>
  <c r="D47" i="20" s="1"/>
  <c r="F44" i="20" a="1"/>
  <c r="F44" i="20" s="1"/>
  <c r="D43" i="20" a="1"/>
  <c r="D43" i="20" s="1"/>
  <c r="F40" i="20" a="1"/>
  <c r="F40" i="20" s="1"/>
  <c r="D39" i="20" a="1"/>
  <c r="D39" i="20" s="1"/>
  <c r="F36" i="20" a="1"/>
  <c r="F36" i="20" s="1"/>
  <c r="D35" i="20" a="1"/>
  <c r="D35" i="20" s="1"/>
  <c r="F32" i="20" a="1"/>
  <c r="F32" i="20" s="1"/>
  <c r="D31" i="20" a="1"/>
  <c r="D31" i="20" s="1"/>
  <c r="F28" i="20" a="1"/>
  <c r="F28" i="20" s="1"/>
  <c r="D27" i="20" a="1"/>
  <c r="D27" i="20" s="1"/>
  <c r="F24" i="20" a="1"/>
  <c r="F24" i="20" s="1"/>
  <c r="D23" i="20" a="1"/>
  <c r="D23" i="20" s="1"/>
  <c r="F20" i="20" a="1"/>
  <c r="F20" i="20" s="1"/>
  <c r="D19" i="20" a="1"/>
  <c r="D19" i="20" s="1"/>
  <c r="F16" i="20" a="1"/>
  <c r="F16" i="20" s="1"/>
  <c r="D15" i="20" a="1"/>
  <c r="D15" i="20" s="1"/>
  <c r="F12" i="20" a="1"/>
  <c r="F12" i="20" s="1"/>
  <c r="D11" i="20" a="1"/>
  <c r="D11" i="20" s="1"/>
  <c r="F8" i="20" a="1"/>
  <c r="F8" i="20" s="1"/>
  <c r="D7" i="20" a="1"/>
  <c r="D7" i="20" s="1"/>
  <c r="F4" i="20" a="1"/>
  <c r="F4" i="20" s="1"/>
  <c r="F58" i="20" a="1"/>
  <c r="F58" i="20" s="1"/>
  <c r="F42" i="20" a="1"/>
  <c r="F42" i="20" s="1"/>
  <c r="F34" i="20" a="1"/>
  <c r="F34" i="20" s="1"/>
  <c r="F59" i="20" a="1"/>
  <c r="F59" i="20" s="1"/>
  <c r="F51" i="20" a="1"/>
  <c r="F51" i="20" s="1"/>
  <c r="D38" i="20" a="1"/>
  <c r="D38" i="20" s="1"/>
  <c r="D30" i="20" a="1"/>
  <c r="D30" i="20" s="1"/>
  <c r="E59" i="20" a="1"/>
  <c r="E59" i="20" s="1"/>
  <c r="C54" i="20" a="1"/>
  <c r="C54" i="20" s="1"/>
  <c r="C42" i="20" a="1"/>
  <c r="C42" i="20" s="1"/>
  <c r="C22" i="20" a="1"/>
  <c r="C22" i="20" s="1"/>
  <c r="D3" i="20" a="1"/>
  <c r="D3" i="20" s="1"/>
  <c r="D61" i="20" a="1"/>
  <c r="D61" i="20" s="1"/>
  <c r="D29" i="20" a="1"/>
  <c r="D29" i="20" s="1"/>
  <c r="D66" i="20" a="1"/>
  <c r="D66" i="20" s="1"/>
  <c r="F47" i="20" a="1"/>
  <c r="F47" i="20" s="1"/>
  <c r="D34" i="20" a="1"/>
  <c r="D34" i="20" s="1"/>
  <c r="E63" i="20" a="1"/>
  <c r="E63" i="20" s="1"/>
  <c r="C58" i="20" a="1"/>
  <c r="C58" i="20" s="1"/>
  <c r="E51" i="20" a="1"/>
  <c r="E51" i="20" s="1"/>
  <c r="C46" i="20" a="1"/>
  <c r="C46" i="20" s="1"/>
  <c r="C38" i="20" a="1"/>
  <c r="C38" i="20" s="1"/>
  <c r="C30" i="20" a="1"/>
  <c r="C30" i="20" s="1"/>
  <c r="E27" i="20" a="1"/>
  <c r="E27" i="20" s="1"/>
  <c r="E23" i="20" a="1"/>
  <c r="E23" i="20" s="1"/>
  <c r="C18" i="20" a="1"/>
  <c r="C18" i="20" s="1"/>
  <c r="E15" i="20" a="1"/>
  <c r="E15" i="20" s="1"/>
  <c r="C3" i="20" a="1"/>
  <c r="C3" i="20" s="1"/>
  <c r="E64" i="20" a="1"/>
  <c r="E64" i="20" s="1"/>
  <c r="C63" i="20" a="1"/>
  <c r="C63" i="20" s="1"/>
  <c r="E60" i="20" a="1"/>
  <c r="E60" i="20" s="1"/>
  <c r="C59" i="20" a="1"/>
  <c r="C59" i="20" s="1"/>
  <c r="E56" i="20" a="1"/>
  <c r="E56" i="20" s="1"/>
  <c r="C55" i="20" a="1"/>
  <c r="C55" i="20" s="1"/>
  <c r="E52" i="20" a="1"/>
  <c r="E52" i="20" s="1"/>
  <c r="C51" i="20" a="1"/>
  <c r="C51" i="20" s="1"/>
  <c r="E48" i="20" a="1"/>
  <c r="E48" i="20" s="1"/>
  <c r="C47" i="20" a="1"/>
  <c r="C47" i="20" s="1"/>
  <c r="E44" i="20" a="1"/>
  <c r="E44" i="20" s="1"/>
  <c r="C43" i="20" a="1"/>
  <c r="C43" i="20" s="1"/>
  <c r="E40" i="20" a="1"/>
  <c r="E40" i="20" s="1"/>
  <c r="C39" i="20" a="1"/>
  <c r="C39" i="20" s="1"/>
  <c r="E36" i="20" a="1"/>
  <c r="E36" i="20" s="1"/>
  <c r="C35" i="20" a="1"/>
  <c r="C35" i="20" s="1"/>
  <c r="E32" i="20" a="1"/>
  <c r="E32" i="20" s="1"/>
  <c r="C31" i="20" a="1"/>
  <c r="C31" i="20" s="1"/>
  <c r="E28" i="20" a="1"/>
  <c r="E28" i="20" s="1"/>
  <c r="C27" i="20" a="1"/>
  <c r="C27" i="20" s="1"/>
  <c r="E24" i="20" a="1"/>
  <c r="E24" i="20" s="1"/>
  <c r="C23" i="20" a="1"/>
  <c r="C23" i="20" s="1"/>
  <c r="E20" i="20" a="1"/>
  <c r="E20" i="20" s="1"/>
  <c r="C19" i="20" a="1"/>
  <c r="C19" i="20" s="1"/>
  <c r="E16" i="20" a="1"/>
  <c r="E16" i="20" s="1"/>
  <c r="C15" i="20" a="1"/>
  <c r="C15" i="20" s="1"/>
  <c r="E12" i="20" a="1"/>
  <c r="E12" i="20" s="1"/>
  <c r="C11" i="20" a="1"/>
  <c r="C11" i="20" s="1"/>
  <c r="E8" i="20" a="1"/>
  <c r="E8" i="20" s="1"/>
  <c r="C7" i="20" a="1"/>
  <c r="C7" i="20" s="1"/>
  <c r="E4" i="20" a="1"/>
  <c r="E4" i="20" s="1"/>
  <c r="D37" i="20" a="1"/>
  <c r="D37" i="20" s="1"/>
  <c r="D58" i="20" a="1"/>
  <c r="D58" i="20" s="1"/>
  <c r="D46" i="20" a="1"/>
  <c r="D46" i="20" s="1"/>
  <c r="F65" i="20" a="1"/>
  <c r="F65" i="20" s="1"/>
  <c r="D64" i="20" a="1"/>
  <c r="D64" i="20" s="1"/>
  <c r="F61" i="20" a="1"/>
  <c r="F61" i="20" s="1"/>
  <c r="D60" i="20" a="1"/>
  <c r="D60" i="20" s="1"/>
  <c r="F57" i="20" a="1"/>
  <c r="F57" i="20" s="1"/>
  <c r="D56" i="20" a="1"/>
  <c r="D56" i="20" s="1"/>
  <c r="F53" i="20" a="1"/>
  <c r="F53" i="20" s="1"/>
  <c r="D52" i="20" a="1"/>
  <c r="D52" i="20" s="1"/>
  <c r="F49" i="20" a="1"/>
  <c r="F49" i="20" s="1"/>
  <c r="D48" i="20" a="1"/>
  <c r="D48" i="20" s="1"/>
  <c r="F45" i="20" a="1"/>
  <c r="F45" i="20" s="1"/>
  <c r="D44" i="20" a="1"/>
  <c r="D44" i="20" s="1"/>
  <c r="F41" i="20" a="1"/>
  <c r="F41" i="20" s="1"/>
  <c r="D40" i="20" a="1"/>
  <c r="D40" i="20" s="1"/>
  <c r="F37" i="20" a="1"/>
  <c r="F37" i="20" s="1"/>
  <c r="D36" i="20" a="1"/>
  <c r="D36" i="20" s="1"/>
  <c r="F33" i="20" a="1"/>
  <c r="F33" i="20" s="1"/>
  <c r="D32" i="20" a="1"/>
  <c r="D32" i="20" s="1"/>
  <c r="F29" i="20" a="1"/>
  <c r="F29" i="20" s="1"/>
  <c r="D28" i="20" a="1"/>
  <c r="D28" i="20" s="1"/>
  <c r="F25" i="20" a="1"/>
  <c r="F25" i="20" s="1"/>
  <c r="D24" i="20" a="1"/>
  <c r="D24" i="20" s="1"/>
  <c r="F21" i="20" a="1"/>
  <c r="F21" i="20" s="1"/>
  <c r="D20" i="20" a="1"/>
  <c r="D20" i="20" s="1"/>
  <c r="F17" i="20" a="1"/>
  <c r="F17" i="20" s="1"/>
  <c r="D16" i="20" a="1"/>
  <c r="D16" i="20" s="1"/>
  <c r="F13" i="20" a="1"/>
  <c r="F13" i="20" s="1"/>
  <c r="D12" i="20" a="1"/>
  <c r="D12" i="20" s="1"/>
  <c r="F9" i="20" a="1"/>
  <c r="F9" i="20" s="1"/>
  <c r="D8" i="20" a="1"/>
  <c r="D8" i="20" s="1"/>
  <c r="F5" i="20" a="1"/>
  <c r="F5" i="20" s="1"/>
  <c r="D4" i="20" a="1"/>
  <c r="D4" i="20" s="1"/>
  <c r="F46" i="20" a="1"/>
  <c r="F46" i="20" s="1"/>
  <c r="E65" i="20" a="1"/>
  <c r="E65" i="20" s="1"/>
  <c r="C64" i="20" a="1"/>
  <c r="C64" i="20" s="1"/>
  <c r="E61" i="20" a="1"/>
  <c r="E61" i="20" s="1"/>
  <c r="C60" i="20" a="1"/>
  <c r="C60" i="20" s="1"/>
  <c r="E57" i="20" a="1"/>
  <c r="E57" i="20" s="1"/>
  <c r="C56" i="20" a="1"/>
  <c r="C56" i="20" s="1"/>
  <c r="E53" i="20" a="1"/>
  <c r="E53" i="20" s="1"/>
  <c r="C52" i="20" a="1"/>
  <c r="C52" i="20" s="1"/>
  <c r="E49" i="20" a="1"/>
  <c r="E49" i="20" s="1"/>
  <c r="C48" i="20" a="1"/>
  <c r="C48" i="20" s="1"/>
  <c r="E45" i="20" a="1"/>
  <c r="E45" i="20" s="1"/>
  <c r="C44" i="20" a="1"/>
  <c r="C44" i="20" s="1"/>
  <c r="E41" i="20" a="1"/>
  <c r="E41" i="20" s="1"/>
  <c r="C40" i="20" a="1"/>
  <c r="C40" i="20" s="1"/>
  <c r="E37" i="20" a="1"/>
  <c r="E37" i="20" s="1"/>
  <c r="C36" i="20" a="1"/>
  <c r="C36" i="20" s="1"/>
  <c r="E33" i="20" a="1"/>
  <c r="E33" i="20" s="1"/>
  <c r="C32" i="20" a="1"/>
  <c r="C32" i="20" s="1"/>
  <c r="E29" i="20" a="1"/>
  <c r="E29" i="20" s="1"/>
  <c r="C28" i="20" a="1"/>
  <c r="C28" i="20" s="1"/>
  <c r="E25" i="20" a="1"/>
  <c r="E25" i="20" s="1"/>
  <c r="C24" i="20" a="1"/>
  <c r="C24" i="20" s="1"/>
  <c r="E21" i="20" a="1"/>
  <c r="E21" i="20" s="1"/>
  <c r="C20" i="20" a="1"/>
  <c r="C20" i="20" s="1"/>
  <c r="E17" i="20" a="1"/>
  <c r="E17" i="20" s="1"/>
  <c r="C16" i="20" a="1"/>
  <c r="C16" i="20" s="1"/>
  <c r="E13" i="20" a="1"/>
  <c r="E13" i="20" s="1"/>
  <c r="C12" i="20" a="1"/>
  <c r="C12" i="20" s="1"/>
  <c r="E9" i="20" a="1"/>
  <c r="E9" i="20" s="1"/>
  <c r="C8" i="20" a="1"/>
  <c r="C8" i="20" s="1"/>
  <c r="E5" i="20" a="1"/>
  <c r="E5" i="20" s="1"/>
  <c r="C4" i="20" a="1"/>
  <c r="C4" i="20"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Neil Hall</author>
  </authors>
  <commentList>
    <comment ref="D2" authorId="0" shapeId="0" xr:uid="{600FFF47-3D53-5C44-AB18-7C377E0A3DD1}">
      <text>
        <r>
          <rPr>
            <b/>
            <sz val="10"/>
            <color rgb="FF000000"/>
            <rFont val="Tahoma"/>
            <family val="2"/>
          </rPr>
          <t>Neil Hall:</t>
        </r>
        <r>
          <rPr>
            <sz val="10"/>
            <color rgb="FF000000"/>
            <rFont val="Tahoma"/>
            <family val="2"/>
          </rPr>
          <t xml:space="preserve">
</t>
        </r>
        <r>
          <rPr>
            <sz val="10"/>
            <color rgb="FF000000"/>
            <rFont val="Tahoma"/>
            <family val="2"/>
          </rPr>
          <t xml:space="preserve">Drop down list:
</t>
        </r>
        <r>
          <rPr>
            <sz val="10"/>
            <color rgb="FF000000"/>
            <rFont val="Tahoma"/>
            <family val="2"/>
          </rPr>
          <t xml:space="preserve">
</t>
        </r>
        <r>
          <rPr>
            <sz val="10"/>
            <color rgb="FF000000"/>
            <rFont val="Tahoma"/>
            <family val="2"/>
          </rPr>
          <t xml:space="preserve">-High: mission critical requirement that must be met prior to commencing operations.
</t>
        </r>
        <r>
          <rPr>
            <sz val="10"/>
            <color rgb="FF000000"/>
            <rFont val="Tahoma"/>
            <family val="2"/>
          </rPr>
          <t xml:space="preserve">
</t>
        </r>
        <r>
          <rPr>
            <sz val="10"/>
            <color rgb="FF000000"/>
            <rFont val="Tahoma"/>
            <family val="2"/>
          </rPr>
          <t xml:space="preserve">-Medium: requirements which have an impact to the effectiveness and efficiency of the system for most applications.  Exclusion may impact customer/user satisfaction
</t>
        </r>
        <r>
          <rPr>
            <sz val="10"/>
            <color rgb="FF000000"/>
            <rFont val="Tahoma"/>
            <family val="2"/>
          </rPr>
          <t xml:space="preserve">
</t>
        </r>
        <r>
          <rPr>
            <sz val="10"/>
            <color rgb="FF000000"/>
            <rFont val="Tahoma"/>
            <family val="2"/>
          </rPr>
          <t xml:space="preserve">-Low: requirement which are useful in less typical applications.  Exclusion will likely not affect customer/user satisfaction for most applications.
</t>
        </r>
        <r>
          <rPr>
            <sz val="10"/>
            <color rgb="FF000000"/>
            <rFont val="Tahoma"/>
            <family val="2"/>
          </rPr>
          <t xml:space="preserve">
</t>
        </r>
        <r>
          <rPr>
            <sz val="10"/>
            <color rgb="FF000000"/>
            <rFont val="Tahoma"/>
            <family val="2"/>
          </rPr>
          <t xml:space="preserve">-Very Low
</t>
        </r>
        <r>
          <rPr>
            <sz val="10"/>
            <color rgb="FF000000"/>
            <rFont val="Tahoma"/>
            <family val="2"/>
          </rPr>
          <t xml:space="preserve">
</t>
        </r>
        <r>
          <rPr>
            <sz val="10"/>
            <color rgb="FF000000"/>
            <rFont val="Tahoma"/>
            <family val="2"/>
          </rPr>
          <t>-Unable to Assess</t>
        </r>
      </text>
    </comment>
    <comment ref="F2" authorId="0" shapeId="0" xr:uid="{C35DF605-DF0E-A041-9CF7-000D0B07A2F8}">
      <text>
        <r>
          <rPr>
            <b/>
            <sz val="10"/>
            <color rgb="FF000000"/>
            <rFont val="Tahoma"/>
            <family val="2"/>
          </rPr>
          <t>Neil Hall:</t>
        </r>
        <r>
          <rPr>
            <sz val="10"/>
            <color rgb="FF000000"/>
            <rFont val="Tahoma"/>
            <family val="2"/>
          </rPr>
          <t xml:space="preserve">
</t>
        </r>
        <r>
          <rPr>
            <i/>
            <sz val="10"/>
            <color rgb="FF000000"/>
            <rFont val="Arial"/>
            <family val="2"/>
          </rPr>
          <t xml:space="preserve">In free text to intended evidence(s) Title/Type where the requirement will be satisfied </t>
        </r>
        <r>
          <rPr>
            <sz val="10"/>
            <color rgb="FF000000"/>
            <rFont val="Arial"/>
            <family val="2"/>
          </rPr>
          <t xml:space="preserve">
</t>
        </r>
      </text>
    </comment>
    <comment ref="G2" authorId="0" shapeId="0" xr:uid="{2EE04272-8D1F-CA4C-A5D1-8F8CD8294112}">
      <text>
        <r>
          <rPr>
            <b/>
            <sz val="10"/>
            <color rgb="FF000000"/>
            <rFont val="Tahoma"/>
            <family val="2"/>
          </rPr>
          <t>Neil Hall:</t>
        </r>
        <r>
          <rPr>
            <sz val="10"/>
            <color rgb="FF000000"/>
            <rFont val="Tahoma"/>
            <family val="2"/>
          </rPr>
          <t xml:space="preserve">
</t>
        </r>
        <r>
          <rPr>
            <i/>
            <sz val="10"/>
            <color rgb="FF000000"/>
            <rFont val="Arial"/>
            <family val="2"/>
          </rPr>
          <t xml:space="preserve">Hyperlink(s) to capture link to evidence(s) in the relevant Document system (i.e PIMS) </t>
        </r>
      </text>
    </comment>
    <comment ref="H2" authorId="0" shapeId="0" xr:uid="{A228B8B4-3ADB-3041-9287-A6B45DE6BFD6}">
      <text>
        <r>
          <rPr>
            <b/>
            <sz val="10"/>
            <color rgb="FF000000"/>
            <rFont val="Tahoma"/>
            <family val="2"/>
          </rPr>
          <t>Neil Hall:</t>
        </r>
        <r>
          <rPr>
            <sz val="10"/>
            <color rgb="FF000000"/>
            <rFont val="Tahoma"/>
            <family val="2"/>
          </rPr>
          <t xml:space="preserve">
</t>
        </r>
        <r>
          <rPr>
            <i/>
            <sz val="10"/>
            <color rgb="FF000000"/>
            <rFont val="Arial"/>
            <family val="2"/>
          </rPr>
          <t xml:space="preserve">Section # where the requirement is satisfied </t>
        </r>
        <r>
          <rPr>
            <sz val="10"/>
            <color rgb="FF000000"/>
            <rFont val="Arial"/>
            <family val="2"/>
          </rPr>
          <t xml:space="preserve">
</t>
        </r>
        <r>
          <rPr>
            <sz val="10"/>
            <color rgb="FF000000"/>
            <rFont val="Tahoma"/>
            <family val="2"/>
          </rPr>
          <t xml:space="preserve">
</t>
        </r>
        <r>
          <rPr>
            <i/>
            <sz val="10"/>
            <color rgb="FF000000"/>
            <rFont val="Arial"/>
            <family val="2"/>
          </rPr>
          <t xml:space="preserve">Mandatory attribute for verification action artefact where Hyperlink is provided </t>
        </r>
        <r>
          <rPr>
            <sz val="10"/>
            <color rgb="FF000000"/>
            <rFont val="Arial"/>
            <family val="2"/>
          </rPr>
          <t xml:space="preserve">
</t>
        </r>
      </text>
    </comment>
    <comment ref="I2" authorId="0" shapeId="0" xr:uid="{D283EF9F-C81F-B14B-8584-26D972C2AE8E}">
      <text>
        <r>
          <rPr>
            <b/>
            <sz val="10"/>
            <color rgb="FF000000"/>
            <rFont val="Tahoma"/>
            <family val="2"/>
          </rPr>
          <t>Neil Hall:</t>
        </r>
        <r>
          <rPr>
            <sz val="10"/>
            <color rgb="FF000000"/>
            <rFont val="Tahoma"/>
            <family val="2"/>
          </rPr>
          <t xml:space="preserve">
</t>
        </r>
        <r>
          <rPr>
            <i/>
            <sz val="10"/>
            <color rgb="FF000000"/>
            <rFont val="Arial"/>
            <family val="2"/>
          </rPr>
          <t xml:space="preserve">In free text to capture justification why the evidence verifies the requirement including if applicable where and why it only partially satisfies the requirement Mandatory attribute for verification action artefact </t>
        </r>
        <r>
          <rPr>
            <sz val="10"/>
            <color rgb="FF000000"/>
            <rFont val="Arial"/>
            <family val="2"/>
          </rPr>
          <t xml:space="preserve">
</t>
        </r>
      </text>
    </comment>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<sst xmlns="http://schemas.openxmlformats.org/spreadsheetml/2006/main" count="1971" uniqueCount="545">
  <si>
    <t>Doc Ref</t>
  </si>
  <si>
    <t>855DC-1540-MX-IT-0006</t>
  </si>
  <si>
    <t>Title</t>
  </si>
  <si>
    <t>Decarb Green Systems (DGS) Delphi Interface Requirements Verification and Acceptance Matrix (RVAM)</t>
  </si>
  <si>
    <t>Author</t>
  </si>
  <si>
    <t>Neil Hall</t>
  </si>
  <si>
    <t>Position</t>
  </si>
  <si>
    <t>Systems Engineer</t>
  </si>
  <si>
    <t>Department</t>
  </si>
  <si>
    <t>Decarb Systems Delivery</t>
  </si>
  <si>
    <t>Reviewers</t>
  </si>
  <si>
    <t>Abby Buters</t>
  </si>
  <si>
    <t>Green Systems Development Manager</t>
  </si>
  <si>
    <t>Green Systems Program</t>
  </si>
  <si>
    <t>Mark Mennell</t>
  </si>
  <si>
    <t>Principal Software Engineer</t>
  </si>
  <si>
    <t>Andrew Malcolm</t>
  </si>
  <si>
    <t>Head of Green Systems</t>
  </si>
  <si>
    <t>Purpose</t>
  </si>
  <si>
    <t>This interface requirements verification and acceptance matrix (RVAM) is developed to provide the Decarb Green Systems programme with a structured, traceable method for capturing, reviewing, and refining interface requirements before they are entered into the requirements repository. This tool is intended to support requirements gathering and engineering during the early stages of system definition and requirements specification. It allows engineers, managers, and stakeholders to record draft requirements derived from the system architecture and interface register and to conduct initial reviews for clarity, completeness, and consistency.</t>
  </si>
  <si>
    <t>About Requirements Engineering</t>
  </si>
  <si>
    <t>Requirements engineering is a structured approach focused on defining, analysing, documenting, verifying and validating the needs and constraints that stakeholders require a system to meet. It ensures that all functions, interfaces, and performance expectations are understood and agreed upon before design and implementation begin. Practical requirements engineering reduces project risks, supports traceability throughout the system lifecycle, and enhances verification and validation outcomes.</t>
  </si>
  <si>
    <t>Intended Use</t>
  </si>
  <si>
    <t>The RVAM should be used collaboratively by program and project teams and subject matter experts to:
- Capture candidate requirements in a consistent, reviewable format.
- Record comments, review status, and actions from requirements review sessions.
- Identify dependencies and interfaces between requirements.
- Prepare clean, validated inputs for capture into the requirements repository.
- Provide a mature and traceable set of baseline interface requirements aligned to systems engineering best practice (ISO/IEC 15288).</t>
  </si>
  <si>
    <t>Scope</t>
  </si>
  <si>
    <t>This RVAM is intended solely for the initial capture and review of interface requirements before they are imported into the requirements repository. The scope of this template is limited to identifying, reviewing, and documenting requirements in all lifecycle phases. It should be used to capture verification results, validation methods, evidence, and change management records throughout the lifecycle of the requirements.</t>
  </si>
  <si>
    <t>Table Field Definitions</t>
  </si>
  <si>
    <t>Field</t>
  </si>
  <si>
    <t>Definition / Purpose</t>
  </si>
  <si>
    <t>Req ID</t>
  </si>
  <si>
    <t>A unique identifier assigned to each requirement for traceability and reference. This ID remains consistent through the RMS import and lifecycle.</t>
  </si>
  <si>
    <t>Requirement Text</t>
  </si>
  <si>
    <t>The full, precise statement of the requirement, written in clear and testable language that defines what the system or subsystem must achieve.</t>
  </si>
  <si>
    <t>Artifact Type</t>
  </si>
  <si>
    <t>The classification of the requirement according to its nature, such as System, Subsystem, Functional, Interface, etc.</t>
  </si>
  <si>
    <t>Source</t>
  </si>
  <si>
    <t>The origin of the requirement, such as a stakeholder document, standard, contract clause, system specification, or engineering analysis.</t>
  </si>
  <si>
    <t>Rationale</t>
  </si>
  <si>
    <t>The reason the requirement exists, describing the intent or justification (e.g. regulatory compliance, operational need, safety objective).</t>
  </si>
  <si>
    <t>Criticality Level</t>
  </si>
  <si>
    <t>An assessment of the requirement’s importance or impact on the system performance, safety, or compliance (e.g. High, Medium, Low, Very Low).</t>
  </si>
  <si>
    <t>Quality Flaw</t>
  </si>
  <si>
    <t>Notes identifying any issues or ambiguities in the requirement text, such as incomplete, unverifiable, or unclear wording, to guide re-drafting.</t>
  </si>
  <si>
    <t>Review Notes</t>
  </si>
  <si>
    <t>Comments and observations made during the review process, including recommended actions, clarifications, or cross-references.</t>
  </si>
  <si>
    <t>Discipline</t>
  </si>
  <si>
    <t>The engineering or functional area responsible for or affected by the requirement.</t>
  </si>
  <si>
    <t>WBS L1 / L2 / L3</t>
  </si>
  <si>
    <t>References to the corresponding levels of the Work Breakdown Structure (WBS) to align each requirement with its relevant project scope element. These support hierarchical traceability from program level to subsystem.</t>
  </si>
  <si>
    <t>Facility Code</t>
  </si>
  <si>
    <t>WBS numeric identifier for to support hierarchical traceability from program level to subsystem.</t>
  </si>
  <si>
    <t>Artefact Owner</t>
  </si>
  <si>
    <t>The person or team accountable for the requirement’s content, quality and delivery.</t>
  </si>
  <si>
    <t>Site</t>
  </si>
  <si>
    <t>The general project site associated with the requirement, if applicable.</t>
  </si>
  <si>
    <t>Area</t>
  </si>
  <si>
    <t>A sub-division of the site or operational area to provide additional location context.</t>
  </si>
  <si>
    <t>Verification Method</t>
  </si>
  <si>
    <t>The intended means by which the requirement will be verified once implemented. Typical categories include Analysis, Inspection, Test, or Demonstration.</t>
  </si>
  <si>
    <t>Requirement Type Definitions</t>
  </si>
  <si>
    <t>Requirement Type</t>
  </si>
  <si>
    <t>Definition</t>
  </si>
  <si>
    <t>Business Requirement</t>
  </si>
  <si>
    <t>A high-level need or objective that reflects what the organisation is trying to achieve. It expresses business outcomes, value drivers, or strategic goals rather than technical solutions.</t>
  </si>
  <si>
    <t>Functional Requirement</t>
  </si>
  <si>
    <t>A description of what a system, component, or process must do. It defines behaviours, actions, inputs, outputs, and rules required to achieve a capability.</t>
  </si>
  <si>
    <t>System Requirement</t>
  </si>
  <si>
    <t>A requirement allocated to the system as a whole, defining the performance, behaviour, constraints, or characteristics the system must meet. System requirements sit above subsystem-level detail.</t>
  </si>
  <si>
    <t>Project/Subsystem Requirement</t>
  </si>
  <si>
    <t>A requirement specific to an individual subsystem or project component. It refines system-level requirements into implementable expectations for a defined part of the solution.</t>
  </si>
  <si>
    <t>Interface Requirement</t>
  </si>
  <si>
    <t>A requirement describing how two systems, subsystems, components, or organisations interact. It specifies data, commands, physical connections, timing, protocols, and responsibilities at system boundaries.</t>
  </si>
  <si>
    <t>Scope Requirement</t>
  </si>
  <si>
    <t>A requirement that defines what is included or excluded from the project, system, or design boundary. It clarifies limits, assumptions, and expectations to control scope and prevent ambiguity.</t>
  </si>
  <si>
    <t>Technical Requirement</t>
  </si>
  <si>
    <t>A requirement specifying a technical constraint or characteristic, such as performance metrics, capacity, standards compliance, environmental conditions, safety margins, or engineering rules.</t>
  </si>
  <si>
    <t>Process Requirement</t>
  </si>
  <si>
    <t>A requirement describing how an activity must be conducted. It defines procedural steps, workflows, responsibilities, or governance needed to deliver or operate the system.</t>
  </si>
  <si>
    <t>Information</t>
  </si>
  <si>
    <t>Content provided for context, explanation, or clarification that does not represent a requirement and does not impose obligations on the solution.</t>
  </si>
  <si>
    <t>Heading</t>
  </si>
  <si>
    <t>A structural label used to group or organise requirements. It is not itself a requirement.</t>
  </si>
  <si>
    <t>Other</t>
  </si>
  <si>
    <t>A placeholder category for items that do not clearly fit into the defined requirement types and require further classification or review.</t>
  </si>
  <si>
    <t>Revision</t>
  </si>
  <si>
    <t>Date</t>
  </si>
  <si>
    <t>Revision Desciption</t>
  </si>
  <si>
    <t>A</t>
  </si>
  <si>
    <t xml:space="preserve">First draft of Delphi interface requirements for review.
Requirement are derived from the Decarb Green Systems Architecture.
Link to the system architecture: https://fortescue-dgs.netlify.app
</t>
  </si>
  <si>
    <t>B</t>
  </si>
  <si>
    <t>16/01/2026</t>
  </si>
  <si>
    <t>Neil Hall, Sam Gould</t>
  </si>
  <si>
    <t>Revised the document preface. Updated to fix inaccuracies in the interface description and to include stakeholder review feedback.</t>
  </si>
  <si>
    <t>Lvl</t>
  </si>
  <si>
    <t>Apportionment</t>
  </si>
  <si>
    <t>Supporting Information from Interface Register</t>
  </si>
  <si>
    <t>Validation Method</t>
  </si>
  <si>
    <t>Requirement Status</t>
  </si>
  <si>
    <t>Green Systems Interface Requirements</t>
  </si>
  <si>
    <t>N/A</t>
  </si>
  <si>
    <t>Delphi Interface Requirements</t>
  </si>
  <si>
    <t>GSP-IR-0003</t>
  </si>
  <si>
    <t>Delphi</t>
  </si>
  <si>
    <t>Feasibility analysis requires timely data; delayed or missing data prevents simulation and energy checks.</t>
  </si>
  <si>
    <t/>
  </si>
  <si>
    <t>Draft</t>
  </si>
  <si>
    <t>GSP-IR-0004</t>
  </si>
  <si>
    <t>The interface shall ensure completeness of all mandatory Heavy Mining Equipment (HME) load-profile data fields used by the Eclipse simulation engine.</t>
  </si>
  <si>
    <t>Missing fields lead to invalid or failed simulations.</t>
  </si>
  <si>
    <t>Ready for Review</t>
  </si>
  <si>
    <t>GSP-IR-0005</t>
  </si>
  <si>
    <t>The interface shall ensure integrity of transmitted values, including protection against corruption and preservation of source identifiers and timestamps.</t>
  </si>
  <si>
    <t>Compromised integrity produces incorrect feasibility results and curtailment decisions.</t>
  </si>
  <si>
    <t>GSP-IR-0006</t>
  </si>
  <si>
    <t>The interface shall provide deterministic error handling and clear notifications when Heavy Mining Equipment (HME) data is missing, delayed, or invalid.</t>
  </si>
  <si>
    <t>Clear fault visibility is required to avoid silent degradation of planning capability.</t>
  </si>
  <si>
    <t>GSP-IR-0007</t>
  </si>
  <si>
    <t>The interface shall provide Delphi with continuous access to Snowflake datasets containing historical and actual operational data required for short-term planning.</t>
  </si>
  <si>
    <t>Green Systems Interface Register, Interface DGS-I_0345</t>
  </si>
  <si>
    <t>Accepted</t>
  </si>
  <si>
    <t>GSP-IR-0008</t>
  </si>
  <si>
    <t>Unplanned outages increase the risk of unplanned load curtailment and unsafe conditions.</t>
  </si>
  <si>
    <t>Accepted with Clarification</t>
  </si>
  <si>
    <t>GSP-IR-0009</t>
  </si>
  <si>
    <t>The interface shall provide version-controlled historical datasets to support consistent retrospective analysis and model training.</t>
  </si>
  <si>
    <t>Consistent datasets are needed to reproduce and improve forecasting models.</t>
  </si>
  <si>
    <t>GSP-IR-0010</t>
  </si>
  <si>
    <t>The interface shall apply data-quality checks, including type, range, and completeness validation, before data is ingested into Delphi.</t>
  </si>
  <si>
    <t>Low-quality data can drive unsafe or inefficient planning outcomes.</t>
  </si>
  <si>
    <t>GSP-IR-0011</t>
  </si>
  <si>
    <t>The interface shall supply real-time operational electrical load data from Ignition SCADA to Delphi for plan-versus-actual calculations.</t>
  </si>
  <si>
    <t>Green Systems Interface Register, Interface DGS-I_0344</t>
  </si>
  <si>
    <t>Plan-versus-actual comparison requires current load measurements.</t>
  </si>
  <si>
    <t>GSP-IR-0012</t>
  </si>
  <si>
    <t>Excessive latency undermines safe curtailment and control decisions.</t>
  </si>
  <si>
    <t>GSP-IR-0013</t>
  </si>
  <si>
    <t>The interface shall detect and flag anomalous SCADA load data patterns, including flatlines, spikes, and gaps.</t>
  </si>
  <si>
    <t>Anomaly detection reduces the risk of acting on erroneous load information.</t>
  </si>
  <si>
    <t>GSP-IR-0014</t>
  </si>
  <si>
    <t>The interface shall include metadata, such as timestamps and source identifiers, to support audit and post-event analysis of load data.</t>
  </si>
  <si>
    <t>Traceability is required for incident investigation and assurance.</t>
  </si>
  <si>
    <t>GSP-IR-0015</t>
  </si>
  <si>
    <t>Green Systems Interface Register, Interface DGS-I_0331</t>
  </si>
  <si>
    <t>Multi-height wind data is required to validate and tune forecast models.</t>
  </si>
  <si>
    <t>GSP-IR-0016</t>
  </si>
  <si>
    <t>The interface shall preserve calibration traceability of wind sensors by including identifiers that link measurements to specific field instruments.</t>
  </si>
  <si>
    <t>Calibration status must be known to assess confidence in measurements.</t>
  </si>
  <si>
    <t>GSP-IR-0017</t>
  </si>
  <si>
    <t>The interface shall implement a uni-directional data flow from field wind measurement systems to Snowflake and then into Delphi, as defined by the architecture.</t>
  </si>
  <si>
    <t>Uni-directional flow reduces cyber risk and simplifies data lineage.</t>
  </si>
  <si>
    <t>GSP-IR-0018</t>
  </si>
  <si>
    <t>The interface shall detect and report missing or invalid wind-speed measurements, including out-of-range or non-physical values.</t>
  </si>
  <si>
    <t>Detection of bad data prevents corruption of forecast validation results.</t>
  </si>
  <si>
    <t>GSP-IR-0019</t>
  </si>
  <si>
    <t>The interface shall ingest real-time Battery Energy Storage System (BESS) state-of-charge (SoC) and related performance metrics from the Atevia Web API into Delphi.</t>
  </si>
  <si>
    <t>Green Systems Interface Register, Interface DGS-I_0333</t>
  </si>
  <si>
    <t>Accurate SoC data is essential for safe and efficient BESS operation and dispatch decisions.</t>
  </si>
  <si>
    <t>GSP-IR-0020</t>
  </si>
  <si>
    <t>Delayed SoC information can lead to unsafe or inefficient BESS behaviour.</t>
  </si>
  <si>
    <t>GSP-IR-0021</t>
  </si>
  <si>
    <t>The interface shall perform data-quality validation on state-of-charge (SoC) and performance metrics, including range checks and rejection of non-physical values.</t>
  </si>
  <si>
    <t>Data-quality controls prevent propagation of erroneous inputs into dispatch algorithms.</t>
  </si>
  <si>
    <t>GSP-IR-0022</t>
  </si>
  <si>
    <t>The interface shall store  Battery Energy Storage System (BESS) state-of-charge (SoC) actuals in Snowflake for traceability and downstream use by Eclipse and other planning tools.</t>
  </si>
  <si>
    <t>Persistent storage enables historical analysis and cross-system planning.</t>
  </si>
  <si>
    <t>GSP-IR-0023</t>
  </si>
  <si>
    <t>The interface shall provide Delphi and Eclipse with access to up to 15 years of historical weather data, including rain, wind, lightning, and other key variables, via Snowflake.</t>
  </si>
  <si>
    <t>Green Systems Interface Register, Interface DGS-I_0325</t>
  </si>
  <si>
    <t>Long-term datasets are required for training and validating forecasting models and supporting strategic planning.</t>
  </si>
  <si>
    <t>GSP-IR-0024</t>
  </si>
  <si>
    <t>The interface shall ensure the historical weather dataset is internally consistent and free from unexplained gaps that would materially impact model training.</t>
  </si>
  <si>
    <t>Consistency and completeness of history are critical to model robustness.</t>
  </si>
  <si>
    <t>GSP-IR-0025</t>
  </si>
  <si>
    <t>The interface shall provide a uni-directional data flow from the Weather Actuals Snowflake dataset into Delphi and Eclipse Snowflake environments.</t>
  </si>
  <si>
    <t>Clear, one-way data paths simplify governance and protect source datasets.</t>
  </si>
  <si>
    <t>GSP-IR-0026</t>
  </si>
  <si>
    <t>The interface shall maintain metadata describing data provenance, update cadence, and any known limitations of the historical weather dataset.</t>
  </si>
  <si>
    <t>Users need transparency on dataset limitations to interpret model results correctly.</t>
  </si>
  <si>
    <t>GSP-IR-0027</t>
  </si>
  <si>
    <t>The interface shall ingest high-resolution solar irradiance forecasts for the North Star Junction site from the Solstice AI service into Delphi and Eclipse.</t>
  </si>
  <si>
    <t>Green Systems Interface Register, Interface DGS-I_0327</t>
  </si>
  <si>
    <t>Accurate site-specific irradiance forecasts are required for solar output planning and BESS management.</t>
  </si>
  <si>
    <t>GSP-IR-0028</t>
  </si>
  <si>
    <t>The interface shall deliver Solstice AI forecasts at a temporal resolution sufficient to support short-term operational decision-making and dispatch adjustment.</t>
  </si>
  <si>
    <t>Near-term operational control requires granular forecasts to anticipate rapid changes.</t>
  </si>
  <si>
    <t>GSP-IR-0029</t>
  </si>
  <si>
    <t>The interface shall route Solstice AI forecast data via the Solstice AI Snowflake dataset into Delphi and Eclipse in a uni-directional manner.</t>
  </si>
  <si>
    <t>This preserves data lineage and conforms to the defined integration pattern.</t>
  </si>
  <si>
    <t>GSP-IR-0030</t>
  </si>
  <si>
    <t>The interface shall provide mechanisms to detect missing or delayed Solstice AI forecast updates and alert operations appropriately.</t>
  </si>
  <si>
    <t>Missing forecasts can lead to incorrect dispatch and BESS behaviour.</t>
  </si>
  <si>
    <t>GSP-IR-0031</t>
  </si>
  <si>
    <t>The interface shall ingest near-term rain and lightning forecast data from Weatherzone into Delphi and Eclipse via Snowflake.</t>
  </si>
  <si>
    <t>Green Systems Interface Register, Interface DGS-I_0328</t>
  </si>
  <si>
    <t>Near-term rain and lightning forecasts are required for operator awareness and short-horizon planning.</t>
  </si>
  <si>
    <t>GSP-IR-0032</t>
  </si>
  <si>
    <t>Timely updates are necessary for safe and reliable operational planning.</t>
  </si>
  <si>
    <t>GSP-IR-0033</t>
  </si>
  <si>
    <t>The interface shall ensure that Weatherzone lightning forecasts are made available to systems and displays supporting safety protocols and operational risk management.</t>
  </si>
  <si>
    <t>Lightning information is safety-critical for field activities and asset protection.</t>
  </si>
  <si>
    <t>GSP-IR-0034</t>
  </si>
  <si>
    <t>The interface shall log and retain Weatherzone forecast data for post-weather event analysis and continuous improvement of planning processes.</t>
  </si>
  <si>
    <t>Historical forecast records support incident review and model calibration.</t>
  </si>
  <si>
    <t>GSP-IR-0035</t>
  </si>
  <si>
    <t>The interface shall ingest real-time and historical solar irradiance measurements (W/m2) from the Atevia PI web API for the North Star Junction solar farm into Delphi.</t>
  </si>
  <si>
    <t>Green Systems Interface Register, Interface DGS-I_0329</t>
  </si>
  <si>
    <t>Actual irradiance is necessary to understand solar resource availability and validate forecasts.</t>
  </si>
  <si>
    <t>GSP-IR-0036</t>
  </si>
  <si>
    <t>GSP-IR-0037</t>
  </si>
  <si>
    <t>The interface shall route Atevia PI irradiance data through Delphi ingestion into Delphi Snowflake in a uni-directional manner.</t>
  </si>
  <si>
    <t>This aligns with the defined architecture and prevents unintended write-back paths.</t>
  </si>
  <si>
    <t>GSP-IR-0038</t>
  </si>
  <si>
    <t>The interface shall detect and flag anomalous irradiance measurements, including zero or negative values during expected daylight periods.</t>
  </si>
  <si>
    <t>Anomaly detection helps prevent erroneous operational and planning decisions.</t>
  </si>
  <si>
    <t>GSP-IR-0039</t>
  </si>
  <si>
    <t>The interface shall provide Delphi and Eclipse with up-to-date Bureau of Meteorology forecasts and actuals for wind, solar, rain, and lightning via Snowflake.</t>
  </si>
  <si>
    <t>Green Systems Interface Register, Interface DGS-I_0326</t>
  </si>
  <si>
    <t>BOM data underpins the short-term planning cycle and long-term planning models.</t>
  </si>
  <si>
    <t>GSP-IR-0040</t>
  </si>
  <si>
    <t>The stated planning cycle requires forecasts over this horizon.</t>
  </si>
  <si>
    <t>GSP-IR-0041</t>
  </si>
  <si>
    <t>Historical BOM data is needed to build and refine long-term models.</t>
  </si>
  <si>
    <t>GSP-IR-0042</t>
  </si>
  <si>
    <t>The interface shall deliver Elysia BESS SoC actuals into Delphi where Bureau of Meteorology (BOM) data is used for operational decisions regarding charging, discharging, and curtailment.</t>
  </si>
  <si>
    <t>Combining BOM and SoC information enables integrated operational decision-making.</t>
  </si>
  <si>
    <t>GSP-IR-0043</t>
  </si>
  <si>
    <t>The interface shall ingest high-resolution wind speed, direction, and gust forecasts from the Vaisala Wind Forecast API into Delphi via Snowflake.</t>
  </si>
  <si>
    <t>Green Systems Interface Register, Interface DGS-I_0330</t>
  </si>
  <si>
    <t>These forecasts support short-term operational planning and generation management.</t>
  </si>
  <si>
    <t>GSP-IR-0044</t>
  </si>
  <si>
    <t>Timely updates are required to adjust site operations ahead of changing wind conditions.</t>
  </si>
  <si>
    <t>GSP-IR-0045</t>
  </si>
  <si>
    <t>The interface shall route Vaisala forecast data through Delphi ingest into Delphi Snowflake in a uni-directional data flow.</t>
  </si>
  <si>
    <t>This conforms to the planned data architecture and simplifies governance.</t>
  </si>
  <si>
    <t>GSP-IR-0046</t>
  </si>
  <si>
    <t>The interface shall log and retain Vaisala forecast data for comparison against actuals and for model performance assessment.</t>
  </si>
  <si>
    <t>Retention supports validation of forecast quality and continuous improvement.</t>
  </si>
  <si>
    <t>GSP-IR-0047</t>
  </si>
  <si>
    <t>The interface shall ingest wind forecast data from DNV into Delphi via Snowflake to support short-term and medium-term operational planning.</t>
  </si>
  <si>
    <t>Green Systems Interface Register, Interface DGS-I_0332</t>
  </si>
  <si>
    <t>DNV provides an independent source of wind forecasts for planning confidence.</t>
  </si>
  <si>
    <t>GSP-IR-0048</t>
  </si>
  <si>
    <t>Detailed forecasts are required to cross-check and validate internal forecasts.</t>
  </si>
  <si>
    <t>GSP-IR-0049</t>
  </si>
  <si>
    <t>The interface shall store DNV forecast data in Snowflake to enable historical comparison and assessment of forecast performance and risk.</t>
  </si>
  <si>
    <t>Historical DNV data supports risk reduction and improved strategy selection.</t>
  </si>
  <si>
    <t>GSP-IR-0050</t>
  </si>
  <si>
    <t>The interface shall ensure a uni-directional data flow from DNV into Delphi Snowflake without external write-back.</t>
  </si>
  <si>
    <t>One-way flow reduces integration risk and simplifies security controls.</t>
  </si>
  <si>
    <t>GSP-IR-0051</t>
  </si>
  <si>
    <t>The interface shall surface SAP work order and equipment downtime data into Snowflake for consumption by Delphi and Eclipse.</t>
  </si>
  <si>
    <t>Green Systems Interface Register, Interface DGS-I_0004</t>
  </si>
  <si>
    <t>Visibility of downtime supports better interpretation of production impacts and forecasts.</t>
  </si>
  <si>
    <t>GSP-IR-0052</t>
  </si>
  <si>
    <t>Both planned and unplanned events affect production and forecast accuracy.</t>
  </si>
  <si>
    <t>GSP-IR-0053</t>
  </si>
  <si>
    <t>Historical context improves analysis of performance and outages.</t>
  </si>
  <si>
    <t>GSP-IR-0054</t>
  </si>
  <si>
    <t>The interface shall ensure that SAP work order data is kept consistent with the source SAP database, including handling of updates and closures.</t>
  </si>
  <si>
    <t>Consistency is required to avoid mismatches between operational and analytics views.</t>
  </si>
  <si>
    <t>GSP-IR-0055</t>
  </si>
  <si>
    <t>The interface shall support exchange of load-forecast-related data between Delphi and MECO while MECO retains any residual forecasting responsibilities.</t>
  </si>
  <si>
    <t>Green Systems Interface Register, Interface DGS-I_0005</t>
  </si>
  <si>
    <t>Transitional arrangements must allow both systems to participate in forecasting as required.</t>
  </si>
  <si>
    <t>GSP-IR-0056</t>
  </si>
  <si>
    <t>The interface shall be designed to accommodate a future configuration in which MECO load-forecasting functionality becomes a subsystem of Delphi.</t>
  </si>
  <si>
    <t>Forward compatibility reduces rework when roles are consolidated.</t>
  </si>
  <si>
    <t>GSP-IR-0057</t>
  </si>
  <si>
    <t>The interface shall maintain clear ownership and traceability of forecasting data, identifying whether Delphi or MECO originated each forecast.</t>
  </si>
  <si>
    <t>Data ownership clarity is required during transition and consolidation.</t>
  </si>
  <si>
    <t>GSP-IR-0058</t>
  </si>
  <si>
    <t>The interface shall provide real-time operational data from Cimplicity fixed plant control systems into Delphi for calculating actual electrical loads.</t>
  </si>
  <si>
    <t>Green Systems Interface Register, Interface DGS-I_0343</t>
  </si>
  <si>
    <t>Accurate real-time load assessment depends on fixed plant data.</t>
  </si>
  <si>
    <t>GSP-IR-0059</t>
  </si>
  <si>
    <t>High latency or unreliability increases safety risk and need for replanning.</t>
  </si>
  <si>
    <t>GSP-IR-0060</t>
  </si>
  <si>
    <t>The interface shall detect and report loss or degradation of Cimplicity data feeds that would prevent accurate real-time load assessment.</t>
  </si>
  <si>
    <t>Timely detection of feed failure is necessary to avoid operating blindly.</t>
  </si>
  <si>
    <t>GSP-IR-0061</t>
  </si>
  <si>
    <t>The interface shall log Cimplicity data used in load calculations to support post-event analysis and assurance.</t>
  </si>
  <si>
    <t>Historical records enable investigation of incidents and verification of decisions.</t>
  </si>
  <si>
    <t>GSP-IR-0062</t>
  </si>
  <si>
    <t>The interface shall allow Delphi to present a consolidated operational weather view, combining measured actuals and multiple forecast sources, on the HIVE display for Energy Operations.</t>
  </si>
  <si>
    <t>Green Systems Interface Register, Interface DGS-I_0213</t>
  </si>
  <si>
    <t>Energy Operations requires a single, integrated weather picture for decision-making.</t>
  </si>
  <si>
    <t>GSP-IR-0063</t>
  </si>
  <si>
    <t>Slow updates reduce the ability to react to rapidly changing weather.</t>
  </si>
  <si>
    <t>GSP-IR-0064</t>
  </si>
  <si>
    <t>The interface shall ensure that critical warning conditions, such as lightning in proximity to operations, are clearly indicated on the HIVE display.</t>
  </si>
  <si>
    <t>Clear visualisation of critical conditions is necessary for safety protocols.</t>
  </si>
  <si>
    <t>GSP-IR-0065</t>
  </si>
  <si>
    <t>The interface shall route only aggregated and operationally relevant weather information to the HIVE display, avoiding unnecessary technical detail.</t>
  </si>
  <si>
    <t>Operators require concise, actionable information rather than raw data.</t>
  </si>
  <si>
    <t>Verification method</t>
  </si>
  <si>
    <t>Verification Evidence Intent</t>
  </si>
  <si>
    <t>Verification Evidence Link</t>
  </si>
  <si>
    <t>Verification Evidence</t>
  </si>
  <si>
    <t>Verification Justification</t>
  </si>
  <si>
    <t>Verification Status</t>
  </si>
  <si>
    <t>Untraceable</t>
  </si>
  <si>
    <t>High</t>
  </si>
  <si>
    <t>Review</t>
  </si>
  <si>
    <t>Satisfied</t>
  </si>
  <si>
    <t xml:space="preserve">Non‐atomic </t>
  </si>
  <si>
    <t>Medium</t>
  </si>
  <si>
    <t>Calculation</t>
  </si>
  <si>
    <t>Not‐satisfied</t>
  </si>
  <si>
    <t>Ambiguous</t>
  </si>
  <si>
    <t>Low</t>
  </si>
  <si>
    <t>Simulation</t>
  </si>
  <si>
    <t>Partially‐satisfied</t>
  </si>
  <si>
    <t>Duplicate</t>
  </si>
  <si>
    <t>Very Low</t>
  </si>
  <si>
    <t>Demonstration</t>
  </si>
  <si>
    <t>Not Accepted</t>
  </si>
  <si>
    <t>Unverifiable</t>
  </si>
  <si>
    <t>Unable to Assess</t>
  </si>
  <si>
    <t>Inspection</t>
  </si>
  <si>
    <t xml:space="preserve">Inconsistent </t>
  </si>
  <si>
    <t>Measurement</t>
  </si>
  <si>
    <t>Unnecessary</t>
  </si>
  <si>
    <t>Monitoring</t>
  </si>
  <si>
    <t xml:space="preserve">Unattainable </t>
  </si>
  <si>
    <t>Test</t>
  </si>
  <si>
    <t>Incomplete</t>
  </si>
  <si>
    <t>Study</t>
  </si>
  <si>
    <t>Multiple Flaws</t>
  </si>
  <si>
    <t>Analysis</t>
  </si>
  <si>
    <t>_1588296406066</t>
  </si>
  <si>
    <t>&lt;table class="Table" id="_1588296406066" style="border-collapse:collapse; border:solid #d9d9d9 1.0pt; border-collapse : collapse; border-color : #696969;" width="0"&gt;	&lt;thead&gt;		&lt;tr style="page-break-inside:avoid"&gt;			&lt;td colspan="1" id="_1610509710744" rowspan="1" style="background-color:#d3d3d3; background:#d3d3d3 none repeat scroll 0% 0%; border-color:#696969; border-style:none solid solid; border-width:medium 1pt 1pt; height:25px; padding:0cm 5.4pt; text-align:left; vertical-align:middle"&gt;&lt;span style="font-size:11pt"&gt;&lt;b&gt;PMF Stage&lt;/b&gt;&lt;/span&gt;&lt;/td&gt;			&lt;td colspan="1" id="_1588296406068" rowspan="1" style="background-color:#d3d3d3; background:#d3d3d3 none repeat scroll 0% 0%; border-color:#696969; border-style:none solid solid; border-width:medium 1pt 1pt; height:25px; padding:0cm 5.4pt; text-align:left; vertical-align:middle"&gt;			&lt;p id="_1588296406034" style="margin-bottom:8pt; margin-left:0cm; margin-right:0cm; margin-top:0cm"&gt;&lt;span style="font-size:11pt"&gt;&lt;span style="font-family:Arial,Helvetica,sans-serif"&gt;&lt;span style="line-height:107%"&gt;&lt;b&gt;&lt;span lang="EN-NZ"&gt;&lt;span style="line-height:107%"&gt;Gate Name&lt;/span&gt;&lt;/span&gt;&lt;/b&gt;&lt;/span&gt;&lt;/span&gt;&lt;/span&gt;&lt;/p&gt;			&lt;/td&gt;			&lt;td colspan="1" id="_1588296406069" rowspan="1" style="background-color:#d3d3d3; background:#d3d3d3 none repeat scroll 0% 0%; border-color:#696969; border-style:none solid solid none; border-width:medium 1pt 1pt medium; height:25px; padding:0cm 5.4pt; text-align:left; vertical-align:middle"&gt;			&lt;p id="_1588296406035" style="margin-bottom:8pt; margin-left:0cm; margin-right:0cm; margin-top:0cm"&gt;&lt;span style="font-size:11pt"&gt;&lt;span style="font-family:Arial,Helvetica,sans-serif"&gt;&lt;span style="line-height:107%"&gt;&lt;b&gt;&lt;span lang="EN-NZ"&gt;&lt;span style="line-height:107%"&gt;Purpose of Stage Gate&lt;/span&gt;&lt;/span&gt;&lt;/b&gt;&lt;/span&gt;&lt;/span&gt;&lt;/span&gt;&lt;/p&gt;			&lt;/td&gt;			&lt;td colspan="1" id="_1588296406070" rowspan="1" style="background-color:#d3d3d3; background:#d3d3d3 none repeat scroll 0% 0%; border-color:#696969; border-style:none solid solid none; border-width:medium 1pt 1pt medium; height:25px; padding:0cm 5.4pt; text-align:left; vertical-align:middle"&gt;			&lt;p id="_1588296406036" style="margin-bottom:8pt; margin-left:0cm; margin-right:0cm; margin-top:0cm"&gt;&lt;span style="font-size:11pt"&gt;&lt;span style="font-family:Arial,Helvetica,sans-serif"&gt;&lt;span style="line-height:107%"&gt;&lt;b&gt;&lt;span lang="EN-NZ"&gt;&lt;span style="line-height:107%"&gt;Engineering Assurance Claim&lt;/span&gt;&lt;/span&gt;&lt;/b&gt;&lt;/span&gt;&lt;/span&gt;&lt;/span&gt;&lt;/p&gt;			&lt;/td&gt;			&lt;td colspan="1" id="_1588296406071" rowspan="1" style="background-color:#d3d3d3; background:#d3d3d3 none repeat scroll 0% 0%; border-color:#696969; border-style:none solid solid none; border-width:medium 1pt 1pt medium; height:25px; padding:0cm 5.4pt; text-align:left; vertical-align:middle"&gt;			&lt;p id="_1588296406037" style="margin-bottom:8pt; margin-left:0cm; margin-right:0cm; margin-top:0cm"&gt;&lt;span style="font-size:11pt"&gt;&lt;span style="font-family:Arial,Helvetica,sans-serif"&gt;&lt;span style="line-height:107%"&gt;&lt;b&gt;&lt;span lang="EN-NZ"&gt;&lt;span style="line-height:107%"&gt;IV Requirement&lt;/span&gt;&lt;/span&gt;&lt;/b&gt;&lt;/span&gt;&lt;/span&gt;&lt;/span&gt;&lt;/p&gt;			&lt;/td&gt;		&lt;/tr&gt;	&lt;/thead&gt;	&lt;tbody&gt;		&lt;tr style="page-break-inside:avoid"&gt;			&lt;td colspan="1" id="_1610509710745" rowspan="1" style="border-color:#696969; border-style:none solid solid; border-width:medium 1pt 1pt; height:25px; padding:0cm 5.4pt; text-align:left; vertical-align:middle"&gt;&lt;span style="font-size:9pt"&gt;3&lt;/span&gt;&lt;/td&gt;			&lt;td colspan="1" id="_1588296406072" rowspan="1" style="border-color:#696969; border-style:none solid solid; border-width:medium 1pt 1pt; height:25px; padding:0cm 5.4pt; text-align:left; vertical-align:middle"&gt;			&lt;p id="_1588296406038" style="margin-bottom:8pt; margin-left:0cm; margin-right:0cm; margin-top:0cm"&gt;&lt;span style="font-family:Arial,Helvetica,sans-serif"&gt;&lt;span style="font-size:11pt"&gt;&lt;span style="line-height:107%"&gt;&lt;span style="font-size:9pt"&gt;&lt;span style="line-height:107%"&gt;Reference Design&lt;/span&gt;&lt;/span&gt;&lt;/span&gt;&lt;/span&gt;&lt;/span&gt;&lt;/p&gt;			&lt;/td&gt;			&lt;td colspan="1" id="_1588296406073" rowspan="1" style="border-color:#696969; border-style:none solid solid none; border-width:medium 1pt 1pt medium; height:25px; padding:0cm 5.4pt; text-align:left; vertical-align:middle"&gt;			&lt;p id="_1588296406039" style="margin-bottom:8pt; margin-left:0cm; margin-right:0cm; margin-top:0cm"&gt;&lt;span style="font-family:Arial,Helvetica,sans-serif"&gt;&lt;span style="font-size:11pt"&gt;&lt;span style="line-height:107%"&gt;&lt;span style="font-size:9pt"&gt;&lt;span style="line-height:107%"&gt;Project to achieve PMF Stage Gate 3&lt;/span&gt;&lt;/span&gt;&lt;/span&gt;&lt;/span&gt;&lt;/span&gt;&lt;/p&gt;			&lt;/td&gt;			&lt;td colspan="1" id="_1588296406074" rowspan="1" style="border-color:#696969; border-style:none solid solid none; border-width:medium 1pt 1pt medium; height:25px; padding:0cm 5.4pt; text-align:left; vertical-align:middle"&gt;			&lt;p id="_1610508595474" style="margin-bottom:8pt; margin-left:0cm; margin-right:0cm; margin-top:0cm"&gt;&lt;span style="font-family:Arial,Helvetica,sans-serif"&gt;&lt;span style="font-size:11pt"&gt;&lt;span style="line-height:107%"&gt;&lt;span style="font-size:9pt"&gt;&lt;span style="line-height:107%"&gt;Submission shall provide evidence that all requirements of the SWTC have been fulfilled and the design has ensured Safety SFAIRP. &lt;/span&gt;&lt;/span&gt;&lt;/span&gt;&lt;/span&gt;&lt;/span&gt;&lt;/p&gt;			&lt;/td&gt;			&lt;td colspan="1" id="_1588296406075" rowspan="1" style="border-color:#696969; border-style:none solid solid none; border-width:medium 1pt 1pt medium; height:25px; padding:0cm 5.4pt; text-align:left; vertical-align:middle"&gt;			&lt;p id="_1588296406041" style="margin-bottom:8pt; margin-left:0cm; margin-right:0cm; margin-top:0cm"&gt;&lt;span style="font-family:Arial,Helvetica,sans-serif"&gt;&lt;span style="font-size:11pt"&gt;&lt;span style="line-height:107%"&gt;&lt;span style="font-size:9pt"&gt;&lt;span style="line-height:107%"&gt;&lt;span style="background-color:null"&gt;Set of IV Certificates that support all Engineering Package Submissions&lt;/span&gt;&lt;/span&gt;&lt;/span&gt;&lt;/span&gt;&lt;/span&gt;&lt;/span&gt;&lt;/p&gt;
			&lt;p id="_1610507338491" style="margin-bottom:8pt; margin-left:0cm; margin-right:0cm; margin-top:0cm"&gt; &lt;/p&gt;			&lt;/td&gt;		&lt;/tr&gt;		&lt;tr style="page-break-inside:avoid"&gt;			&lt;td colspan="1" id="_1610509710746" rowspan="1" style="border-color:#696969; border-style:none solid solid; border-width:medium 1pt 1pt; height:25px; padding:0cm 5.4pt; text-align:left; vertical-align:middle"&gt;&lt;span style="font-size:9pt"&gt;4&lt;/span&gt;&lt;/td&gt;			&lt;td colspan="1" id="_1588296406080" rowspan="1" style="border-color:#696969; border-style:none solid solid; border-width:medium 1pt 1pt; height:25px; padding:0cm 5.4pt; text-align:left; vertical-align:middle"&gt;			&lt;p id="_1588296406046" style="margin-bottom:8pt; margin-left:0cm; margin-right:0cm; margin-top:0cm"&gt;&lt;span style="font-family:Arial,Helvetica,sans-serif"&gt;&lt;span style="font-size:11pt"&gt;&lt;span style="line-height:107%"&gt;&lt;span style="font-size:9pt"&gt;&lt;span style="line-height:107%"&gt;Detailed Design&lt;/span&gt;&lt;/span&gt;&lt;/span&gt;&lt;/span&gt;&lt;/span&gt;&lt;/p&gt;			&lt;/td&gt;			&lt;td colspan="1" id="_1588296406081" rowspan="1" style="border-color:#696969; border-style:none solid solid none; border-width:medium 1pt 1pt medium; height:25px; padding:0cm 5.4pt; text-align:left; vertical-align:middle"&gt;			&lt;p id="_1588296406047" style="margin-bottom:8pt; margin-left:0cm; margin-right:0cm; margin-top:0cm"&gt;&lt;span style="font-family:Arial,Helvetica,sans-serif"&gt;&lt;span style="font-size:11pt"&gt;&lt;span style="line-height:107%"&gt;&lt;span style="font-size:9pt"&gt;&lt;span style="line-height:107%"&gt;Project to achieve acceptance of the Detailed Design.&lt;/span&gt;&lt;/span&gt;&lt;/span&gt;&lt;/span&gt;&lt;/span&gt;&lt;/p&gt;			&lt;/td&gt;			&lt;td colspan="1" id="_1588296406082" rowspan="1" style="border-color:#696969; border-style:none solid solid none; border-width:medium 1pt 1pt medium; height:25px; padding:0cm 5.4pt; text-align:left; vertical-align:middle"&gt;			&lt;p id="_1588296406048" style="margin-bottom:8pt; margin-left:0cm; margin-right:0cm; margin-top:0cm"&gt;&lt;span style="font-family:Arial,Helvetica,sans-serif"&gt;&lt;span style="font-size:11pt"&gt;&lt;span style="line-height:107%"&gt;&lt;span style="font-size:9pt"&gt;&lt;span style="line-height:107%"&gt;Submission shall evidence all SWTC requirements have been satisfied by detailed design. &lt;/span&gt;&lt;/span&gt;&lt;/span&gt;&lt;/span&gt;&lt;/span&gt;&lt;/p&gt;			&lt;/td&gt;			&lt;td colspan="1" id="_1588296406083" rowspan="1" style="border-color:#696969; border-style:none solid solid none; border-width:medium 1pt 1pt medium; height:25px; padding:0cm 5.4pt; text-align:left; vertical-align:middle"&gt;			&lt;p id="_1588296406049" style="margin-bottom:8pt; margin-left:0cm; margin-right:0cm; margin-top:0cm"&gt;&lt;span style="font-family:Arial,Helvetica,sans-serif"&gt;&lt;span style="font-size:11pt"&gt;&lt;span style="line-height:107%"&gt;&lt;span style="font-size:9pt"&gt;&lt;span style="line-height:107%"&gt;&lt;span style="background-color:null"&gt;Set of IV Certificates that support all Engineering Package Submissions&lt;/span&gt;&lt;/span&gt;&lt;/span&gt;&lt;/span&gt;&lt;/span&gt;&lt;/span&gt;&lt;/p&gt;			&lt;/td&gt;		&lt;/tr&gt;		&lt;tr style="page-break-inside:avoid"&gt;			&lt;td colspan="1" id="_1610509710747" rowspan="1" style="border-color:#696969; border-style:none solid solid; border-width:medium 1pt 1pt; height:25px; padding:0cm 5.4pt; text-align:left; vertical-align:middle"&gt;&lt;span style="font-size:9pt"&gt;4&lt;/span&gt;&lt;/td&gt;			&lt;td colspan="1" id="_1588296406084" rowspan="1" style="border-color:#696969; border-style:none solid solid; border-width:medium 1pt 1pt; height:25px; padding:0cm 5.4pt; text-align:left; vertical-align:middle"&gt;			&lt;p id="_1588296406050" style="margin-bottom:8pt; margin-left:0cm; margin-right:0cm; margin-top:0cm"&gt;&lt;span style="font-family:Arial,Helvetica,sans-serif"&gt;&lt;span style="font-size:11pt"&gt;&lt;span style="line-height:107%"&gt;&lt;span style="font-size:9pt"&gt;&lt;span style="line-height:107%"&gt;IFC&lt;/span&gt;&lt;/span&gt;&lt;/span&gt;&lt;/span&gt;&lt;/span&gt;&lt;/p&gt;			&lt;/td&gt;			&lt;td colspan="1" id="_1588296406085" rowspan="1" style="border-color:#696969; border-style:none solid solid none; border-width:medium 1pt 1pt medium; height:25px; padding:0cm 5.4pt; text-align:left; vertical-align:middle"&gt;			&lt;p id="_1588296406051" style="margin-bottom:8pt; margin-left:0cm; margin-right:0cm; margin-top:0cm"&gt;&lt;span style="font-family:Arial,Helvetica,sans-serif"&gt;&lt;span style="font-size:11pt"&gt;&lt;span style="line-height:107%"&gt;&lt;span style="font-size:9pt"&gt;&lt;span style="line-height:107%"&gt;Project to prove readiness for Construction&lt;/span&gt;&lt;/span&gt;&lt;/span&gt;&lt;/span&gt;&lt;/span&gt;&lt;/p&gt;
			&lt;p id="_1610508595476" style="margin-bottom:8pt; margin-left:0cm; margin-right:0cm; margin-top:0cm"&gt;&lt;span style="font-family:Arial,Helvetica,sans-serif"&gt;&lt;span style="font-size:11pt"&gt;&lt;span style="line-height:107%"&gt;&lt;span style="font-size:9pt"&gt;&lt;span style="line-height:107%"&gt;(also achieves PMF Stage 4 design component)&lt;/span&gt;&lt;/span&gt;&lt;/span&gt;&lt;/span&gt;&lt;/span&gt;&lt;/p&gt;			&lt;/td&gt;			&lt;td colspan="1" id="_1588296406086" rowspan="1" style="border-color:#696969; border-style:none solid solid none; border-width:medium 1pt 1pt medium; height:25px; padding:0cm 5.4pt; text-align:left; vertical-align:middle"&gt;			&lt;p id="_1588296406052" style="margin-bottom:8pt; margin-left:0cm; margin-right:0cm; margin-top:0cm"&gt;&lt;span style="font-size:9pt"&gt;&lt;span style="line-height:107%"&gt;&lt;span style="line-height:107%"&gt;IFC milestone submission evidences all design comments have been completely closed-out&lt;/span&gt;&lt;/span&gt; and IFC materials have been issued to support Construction and Testing &amp;amp; Commissioning.&lt;/span&gt;&lt;/p&gt;			&lt;/td&gt;			&lt;td colspan="1" id="_1588296406087" rowspan="1" style="border-color:#696969; border-style:none solid solid none; border-width:medium 1pt 1pt medium; height:25px; padding:0cm 5.4pt; text-align:left; vertical-align:middle"&gt;			&lt;p id="_1588296406053" style="margin-bottom:8pt; margin-left:0cm; margin-right:0cm; margin-top:0cm"&gt;&lt;span style="font-family:Arial,Helvetica,sans-serif"&gt;&lt;span style="font-size:11pt"&gt;&lt;span style="line-height:107%"&gt;&lt;span style="font-size:9pt"&gt;&lt;span style="line-height:107%"&gt;N/A&lt;/span&gt;&lt;/span&gt;&lt;/span&gt;&lt;/span&gt;&lt;/span&gt;&lt;/p&gt;			&lt;/td&gt;		&lt;/tr&gt;		&lt;tr style="page-break-inside:avoid"&gt;			&lt;td colspan="1" id="_1610509710748" rowspan="1" style="border-color:#696969; border-style:none solid solid; border-width:medium 1pt 1pt; height:25px; padding:0cm 5.4pt; text-align:left; vertical-align:middle"&gt;&lt;span style="font-size:9pt"&gt;4&lt;/span&gt;&lt;/td&gt;			&lt;td colspan="1" id="_1588296406088" rowspan="1" style="border-color:#696969; border-style:none solid solid; border-width:medium 1pt 1pt; height:25px; padding:0cm 5.4pt; text-align:left; vertical-align:middle"&gt;			&lt;p id="_1588296406054" style="margin-bottom:8pt; margin-left:0cm; margin-right:0cm; margin-top:0cm"&gt;&lt;span style="font-family:Arial,Helvetica,sans-serif"&gt;&lt;span style="font-size:11pt"&gt;&lt;span style="line-height:107%"&gt;&lt;span style="font-size:9pt"&gt;&lt;span style="line-height:107%"&gt;&lt;span style="background-color:null"&gt;Test and Commissioning &lt;/span&gt;&lt;/span&gt;&lt;/span&gt;&lt;/span&gt;&lt;/span&gt;&lt;/span&gt;&lt;/p&gt;			&lt;/td&gt;			&lt;td colspan="1" id="_1588296406089" rowspan="1" style="border-color:#696969; border-style:none solid solid none; border-width:medium 1pt 1pt medium; height:25px; padding:0cm 5.4pt; text-align:left; vertical-align:middle"&gt;			&lt;p id="_1588296406055" style="margin-bottom:8pt; margin-left:0cm; margin-right:0cm; margin-top:0cm"&gt;&lt;span style="font-family:Arial,Helvetica,sans-serif"&gt;&lt;span style="font-size:11pt"&gt;&lt;span style="line-height:107%"&gt;&lt;span style="font-size:9pt"&gt;&lt;span style="line-height:107%"&gt;&lt;span style="background-color:null"&gt;Project to authorise specific testing and commissioning activities.&lt;/span&gt;&lt;/span&gt;&lt;/span&gt;&lt;/span&gt;&lt;/span&gt;&lt;/span&gt;&lt;/p&gt;			&lt;/td&gt;			&lt;td colspan="1" id="_1588296406090" rowspan="1" style="border-color:#696969; border-style:none solid solid none; border-width:medium 1pt 1pt medium; height:25px; padding:0cm 5.4pt; text-align:left; vertical-align:middle"&gt;			&lt;p id="_1588296406056" style="margin-bottom:8pt; margin-left:0cm; margin-right:0cm; margin-top:0cm"&gt;&lt;span style="font-size:9pt"&gt;&lt;span style="font-family:Arial,Helvetica,sans-serif"&gt;&lt;span style="line-height:107%"&gt;&lt;span style="line-height:107%"&gt;Demonstrate readiness to conduct specific high-risk testing and commissioning activities. Evidence is collated that demonstrates the project has ensured safety &lt;/span&gt;&lt;/span&gt;SFAIRP.&lt;/span&gt;&lt;/span&gt;&lt;/p&gt;			&lt;/td&gt;			&lt;td colspan="1" id="_1588296406091" rowspan="1" style="border-color:#696969; border-style:none solid solid none; border-width:medium 1pt 1pt medium; height:25px; padding:0cm 5.4pt; text-align:left; vertical-align:middle"&gt;			&lt;p id="_1588296406057" style="margin-bottom:8pt; margin-left:0cm; margin-right:0cm; margin-top:0cm"&gt;&lt;span style="font-family:Arial,Helvetica,sans-serif"&gt;&lt;span style="font-size:11pt"&gt;&lt;span style="line-height:107%"&gt;&lt;span style="font-size:9pt"&gt;&lt;span style="line-height:107%"&gt;&lt;span style="background-color:null"&gt;IV to be applied by PTA discretion&lt;/span&gt;&lt;/span&gt;&lt;/span&gt;&lt;/span&gt;&lt;/span&gt;&lt;/span&gt;&lt;/p&gt;			&lt;/td&gt;		&lt;/tr&gt;		&lt;tr style="page-break-inside:avoid"&gt;			&lt;td colspan="1" id="_1610509710749" rowspan="1" style="border-color:#696969; border-style:none solid solid; border-width:medium 1pt 1pt; height:25px; padding:0cm 5.4pt; text-align:left; vertical-align:middle"&gt;&lt;span style="font-size:9pt"&gt;4&lt;/span&gt;&lt;/td&gt;			&lt;td colspan="1" id="_1588296406092" rowspan="1" style="border-color:#696969; border-style:none solid solid; border-width:medium 1pt 1pt; height:25px; padding:0cm 5.4pt; text-align:left; vertical-align:middle"&gt;			&lt;p id="_1588296406058" style="margin-bottom:8pt; margin-left:0cm; margin-right:0cm; margin-top:0cm"&gt;&lt;span style="font-family:Arial,Helvetica,sans-serif"&gt;&lt;span style="font-size:11pt"&gt;&lt;span style="line-height:107%"&gt;&lt;span style="font-size:9pt"&gt;&lt;span style="line-height:107%"&gt;Entry into Service (EIS)&lt;/span&gt;&lt;/span&gt;&lt;/span&gt;&lt;/span&gt;&lt;/span&gt;&lt;/p&gt;			&lt;/td&gt;			&lt;td colspan="1" id="_1588296406093" rowspan="1" style="border-color:#696969; border-style:none solid solid none; border-width:medium 1pt 1pt medium; height:25px; padding:0cm 5.4pt; text-align:left; vertical-align:middle"&gt;			&lt;p id="_1588296406059" style="margin-bottom:8pt; margin-left:0cm; margin-right:0cm; margin-top:0cm"&gt;&lt;span style="font-family:Arial,Helvetica,sans-serif"&gt;&lt;span style="font-size:11pt"&gt;&lt;span style="line-height:107%"&gt;&lt;span style="font-size:9pt"&gt;&lt;span style="line-height:107%"&gt;Project to achieve PMF Stage Gate 4&lt;/span&gt;&lt;/span&gt;&lt;/span&gt;&lt;/span&gt;&lt;/span&gt;&lt;/p&gt;			&lt;/td&gt;			&lt;td colspan="1" id="_1588296406094" rowspan="1" style="border-color:#696969; border-style:none solid solid none; border-width:medium 1pt 1pt medium; height:25px; padding:0cm 5.4pt; text-align:left; vertical-align:middle"&gt;			&lt;p id="_1588296406060" style="margin-bottom:8pt; margin-left:0cm; margin-right:0cm; margin-top:0cm"&gt;&lt;span style="font-family:Arial,Helvetica,sans-serif"&gt;&lt;span style="font-size:11pt"&gt;&lt;span style="line-height:107%"&gt;&lt;span style="font-size:9pt"&gt;&lt;span style="line-height:107%"&gt;&lt;span style="background-color:null"&gt;Submission shall evidence final As-Constructed and Commissioned deliverables. Safety Case shall demonstrate that the works has ensured safety SFAIRP.&lt;/span&gt;&lt;/span&gt;&lt;/span&gt;&lt;/span&gt;&lt;/span&gt;&lt;/span&gt;&lt;/p&gt;
			&lt;p id="_1610508595477" style="margin-bottom:8pt; margin-left:0cm; margin-right:0cm; margin-top:0cm"&gt;&lt;span style="font-family:Arial,Helvetica,sans-serif"&gt;&lt;span style="font-size:11pt"&gt;&lt;span style="line-height:107%"&gt;&lt;span style="font-size:9pt"&gt;&lt;span style="line-height:107%"&gt;Progressive assurance allows for an element of the works where EIS has been achieved to enter into service, where other elements have not achieved the milestone.&lt;/span&gt;&lt;/span&gt;&lt;/span&gt;&lt;/span&gt;&lt;/span&gt;&lt;/p&gt;
			&lt;p id="_1610508595478" style="margin-bottom:8pt; margin-left:0cm; margin-right:0cm; margin-top:0cm"&gt; &lt;/p&gt;			&lt;/td&gt;			&lt;td colspan="1" id="_1588296406095" rowspan="1" style="border-color:#696969; border-style:none solid solid none; border-width:medium 1pt 1pt medium; height:25px; padding:0cm 5.4pt; text-align:left; vertical-align:middle"&gt;			&lt;p id="_1588296406061" style="margin-bottom:8pt; margin-left:0cm; margin-right:0cm; margin-top:0cm"&gt;&lt;span style="font-family:Arial,Helvetica,sans-serif"&gt;&lt;span style="font-size:11pt"&gt;&lt;span style="line-height:107%"&gt;&lt;span style="font-size:9pt"&gt;&lt;span style="line-height:107%"&gt;Final IV certificate set including all Independent Validation&lt;/span&gt;&lt;/span&gt;&lt;/span&gt;&lt;/span&gt;&lt;/span&gt;.&lt;/p&gt;			&lt;/td&gt;		&lt;/tr&gt;		&lt;tr style="page-break-inside:avoid"&gt;			&lt;td colspan="1" id="_1610509710750" rowspan="1" style="border-color:#696969; border-style:none solid solid; border-width:medium 1pt 1pt; height:25px; padding:0cm 5.4pt; text-align:left; vertical-align:middle"&gt;&lt;span style="font-size:9pt"&gt;5&lt;/span&gt;&lt;/td&gt;			&lt;td colspan="1" id="_1588296406096" rowspan="1" style="border-color:#696969; border-style:none solid solid; border-width:medium 1pt 1pt; height:25px; padding:0cm 5.4pt; text-align:left; vertical-align:middle"&gt;			&lt;p id="_1588296406062" style="margin-bottom:8pt; margin-left:0cm; margin-right:0cm; margin-top:0cm"&gt;&lt;span style="font-family:Arial,Helvetica,sans-serif"&gt;&lt;span style="font-size:11pt"&gt;&lt;span style="line-height:107%"&gt;&lt;span style="font-size:9pt"&gt;&lt;span style="line-height:107%"&gt;Final Asset Acceptance (FAA)&lt;/span&gt;&lt;/span&gt;&lt;/span&gt;&lt;/span&gt;&lt;/span&gt;&lt;/p&gt;			&lt;/td&gt;			&lt;td colspan="1" id="_1588296406097" rowspan="1" style="border-color:#696969; border-style:none solid solid none; border-width:medium 1pt 1pt medium; height:25px; padding:0cm 5.4pt; text-align:left; vertical-align:middle"&gt;			&lt;p id="_1588296406063" style="margin-bottom:8pt; margin-left:0cm; margin-right:0cm; margin-top:0cm"&gt;&lt;span style="font-family:Arial,Helvetica,sans-serif"&gt;&lt;span style="font-size:11pt"&gt;&lt;span style="line-height:107%"&gt;&lt;span style="font-size:9pt"&gt;&lt;span style="line-height:107%"&gt;Project to achieve PMF Stage Gate 5&lt;/span&gt;&lt;/span&gt;&lt;/span&gt;&lt;/span&gt;&lt;/span&gt;&lt;/p&gt;			&lt;/td&gt;			&lt;td colspan="1" id="_1588296406098" rowspan="1" style="border-color:#696969; border-style:none solid solid none; border-width:medium 1pt 1pt medium; height:25px; padding:0cm 5.4pt; text-align:left; vertical-align:middle"&gt;			&lt;p id="_1588296406064" style="margin-bottom:8pt; margin-left:0cm; margin-right:0cm; margin-top:0cm"&gt;&lt;span style="font-family:Arial,Helvetica,sans-serif"&gt;&lt;span style="font-size:11pt"&gt;&lt;span style="line-height:107%"&gt;&lt;span style="font-size:9pt"&gt;&lt;span style="line-height:107%"&gt;Completion of all project documentation&lt;/span&gt;&lt;/span&gt;&lt;/span&gt;&lt;/span&gt;&lt;/span&gt;.&lt;/p&gt;			&lt;/td&gt;			&lt;td colspan="1" id="_1588296406099" rowspan="1" style="border-color:#696969; border-style:none solid solid none; border-width:medium 1pt 1pt medium; height:25px; padding:0cm 5.4pt; text-align:left; vertical-align:middle"&gt;			&lt;p id="_1588296406065" style="margin-bottom:8pt; margin-left:0cm; margin-right:0cm; margin-top:0cm"&gt;&lt;span style="font-family:Arial,Helvetica,sans-serif"&gt;&lt;span style="font-size:11pt"&gt;&lt;span style="line-height:107%"&gt;&lt;span style="font-size:9pt"&gt;&lt;span style="line-height:107%"&gt;N/A&lt;/span&gt;&lt;/span&gt;&lt;/span&gt;&lt;/span&gt;&lt;/span&gt;&lt;/p&gt;			&lt;/td&gt;		&lt;/tr&gt;	&lt;/tbody&gt;&lt;/table&gt;</t>
  </si>
  <si>
    <t>_1585121135735</t>
  </si>
  <si>
    <t>&lt;table class="Table" dir="ltr" id="_1585121135735" style="border: 1pt solid rgb(105, 105, 105); width: 363px; border-collapse: collapse; border-collapse : collapse; border-color : #696969;" width="0"&gt;	&lt;thead&gt;		&lt;tr style="page-break-inside:avoid"&gt;			&lt;td colspan="1" id="_1583912312659" rowspan="1" style="background-color:#d3d3d3; background:#d3d3d3 none repeat scroll 0% 0%; border-color:#696969; border-style:solid solid solid none; border-width:1pt 1pt 1pt medium; height:25px; padding:0cm 5.4pt; text-align:left; vertical-align:middle; width:110px"&gt;			&lt;p id="_1583912312610" style="margin-bottom:8pt; margin-left:0cm; margin-right:0cm; margin-top:0cm"&gt;&lt;span style="font-family:Arial,Helvetica,sans-serif"&gt;&lt;span style="font-size:11pt"&gt;&lt;span style="line-height:107%"&gt;&lt;b&gt;&lt;span lang="EN-NZ" style="line-height:107%"&gt;Site Name&lt;/span&gt;&lt;/b&gt;&lt;/span&gt;&lt;/span&gt;&lt;/span&gt;&lt;/p&gt;			&lt;/td&gt;			&lt;td colspan="1" id="_1583912312661" rowspan="1" style="background-color:#d3d3d3; background:#d3d3d3 none repeat scroll 0% 0%; border-color:#696969; border-style:solid solid solid none; border-width:1pt 1pt 1pt medium; height:25px; padding:0cm 5.4pt; text-align:left; vertical-align:middle; width:102px"&gt;			&lt;p id="_1583912312612" style="margin-bottom:8pt; margin-left:0cm; margin-right:0cm; margin-top:0cm"&gt;&lt;span style="font-family:Arial,Helvetica,sans-serif"&gt;&lt;span style="font-size:11pt"&gt;&lt;span style="line-height:107%"&gt;&lt;b&gt;&lt;span lang="EN-NZ" style="line-height:107%"&gt;Antenna (m)&lt;/span&gt;&lt;/b&gt;&lt;/span&gt;&lt;/span&gt;&lt;/span&gt;&lt;/p&gt;			&lt;/td&gt;			&lt;td colspan="1" id="_1583912312662" rowspan="1" style="background-color:#d3d3d3; background:#d3d3d3 none repeat scroll 0% 0%; border-color:#696969; border-style:solid solid solid none; border-width:1pt 1pt 1pt medium; height:25px; padding:0cm 5.4pt; text-align:left; vertical-align:middle; width:99px"&gt;			&lt;p id="_1583912312613" style="margin-bottom:8pt; margin-left:0cm; margin-right:0cm; margin-top:0cm"&gt;&lt;span style="font-family:Arial,Helvetica,sans-serif"&gt;&lt;span style="font-size:11pt"&gt;&lt;span style="line-height:107%"&gt;&lt;b&gt;&lt;span lang="EN-NZ" style="line-height:107%"&gt;Tower Status&lt;/span&gt;&lt;/b&gt;&lt;/span&gt;&lt;/span&gt;&lt;/span&gt;&lt;/p&gt;			&lt;/td&gt;		&lt;/tr&gt;		&lt;tr style="page-break-inside:avoid"&gt;			&lt;td colspan="1" id="_1583912312664" rowspan="1" style="border-color:#696969; border-style:none solid solid none; border-width:medium 1pt 1pt medium; height:25px; padding:0cm 5.4pt; text-align:left; vertical-align:middle; width:110px"&gt;			&lt;p id="_1583912312615" style="margin-bottom:8pt; margin-left:0cm; margin-right:0cm; margin-top:0cm"&gt;&lt;span style="font-family:Arial,Helvetica,sans-serif"&gt;&lt;span style="font-size:11pt"&gt;&lt;span style="line-height:107%"&gt;&lt;span style="font-size:9pt"&gt;&lt;span style="line-height:107%"&gt;Midland Signalling Building (Arc) Tower&lt;/span&gt;&lt;/span&gt;&lt;/span&gt;&lt;/span&gt;&lt;/span&gt;&lt;/p&gt;			&lt;/td&gt;			&lt;td colspan="1" id="_1583912312666" rowspan="1" style="border-color:#696969; border-style:none solid solid none; border-width:medium 1pt 1pt medium; height:25px; padding:0cm 5.4pt; text-align:left; vertical-align:middle; width:102px"&gt;			&lt;p id="_1583912312617" style="margin-bottom:8pt; margin-left:0cm; margin-right:0cm; margin-top:0cm"&gt;&lt;span style="font-family:Arial,Helvetica,sans-serif"&gt;&lt;span style="font-size:11pt"&gt;&lt;span style="line-height:107%"&gt;&lt;span style="font-size:9pt"&gt;&lt;span style="line-height:107%"&gt;35&lt;/span&gt;&lt;/span&gt;&lt;/span&gt;&lt;/span&gt;&lt;/span&gt;&lt;/p&gt;			&lt;/td&gt;			&lt;td colspan="1" id="_1583912312667" rowspan="1" style="border-color:#696969; border-style:none solid solid none; border-width:medium 1pt 1pt medium; height:25px; padding:0cm 5.4pt; text-align:left; vertical-align:middle; width:99px"&gt;			&lt;p id="_1583912312618" style="margin-bottom:8pt; margin-left:0cm; margin-right:0cm; margin-top:0cm"&gt;&lt;span style="font-family:Arial,Helvetica,sans-serif"&gt;&lt;span style="font-size:11pt"&gt;&lt;span style="line-height:107%"&gt;&lt;span style="font-size:9pt"&gt;&lt;span style="line-height:107%"&gt;Existing&lt;/span&gt;&lt;/span&gt;&lt;/span&gt;&lt;/span&gt;&lt;/span&gt;&lt;/p&gt;			&lt;/td&gt;		&lt;/tr&gt;		&lt;tr style="page-break-inside:avoid"&gt;			&lt;td colspan="1" id="_1583912312669" rowspan="1" style="border-color:#696969; border-style:none solid solid none; border-width:medium 1pt 1pt medium; height:25px; padding:0cm 5.4pt; text-align:left; vertical-align:middle; width:110px"&gt;			&lt;p id="_1583912312621" style="margin-bottom:8pt; margin-left:0cm; margin-right:0cm; margin-top:0cm"&gt;&lt;span style="font-family:Arial,Helvetica,sans-serif"&gt;&lt;span style="font-size:11pt"&gt;&lt;span style="line-height:107%"&gt;&lt;span style="font-size:9pt"&gt;&lt;span style="line-height:107%"&gt;Bellevue Depot (Eastern End)&lt;/span&gt;&lt;/span&gt;&lt;/span&gt;&lt;/span&gt;&lt;/span&gt;&lt;/p&gt;			&lt;/td&gt;			&lt;td colspan="1" id="_1583912312671" rowspan="1" style="border-color:#696969; border-style:none solid solid none; border-width:medium 1pt 1pt medium; height:25px; padding:0cm 5.4pt; text-align:left; vertical-align:middle; width:102px"&gt;			&lt;p id="_1583912312623" style="margin-bottom:8pt; margin-left:0cm; margin-right:0cm; margin-top:0cm"&gt;&lt;span style="font-family:Arial,Helvetica,sans-serif"&gt;&lt;span style="font-size:9pt"&gt;30&lt;/span&gt;&lt;/span&gt;&lt;/p&gt;			&lt;/td&gt;			&lt;td colspan="1" id="_1583912312672" rowspan="1" style="border-color:#696969; border-style:none solid solid none; border-width:medium 1pt 1pt medium; height:25px; padding:0cm 5.4pt; text-align:left; vertical-align:middle; width:99px"&gt;			&lt;p id="_1583912312624" style="margin-bottom:8pt; margin-left:0cm; margin-right:0cm; margin-top:0cm"&gt;&lt;span style="font-family:Arial,Helvetica,sans-serif"&gt;&lt;span style="font-size:11pt"&gt;&lt;span style="line-height:107%"&gt;&lt;span style="font-size:9pt"&gt;&lt;span style="line-height:107%"&gt;New&lt;/span&gt;&lt;/span&gt;&lt;/span&gt;&lt;/span&gt;&lt;/span&gt;&lt;/p&gt;			&lt;/td&gt;		&lt;/tr&gt;	&lt;/thead&gt;&lt;/table&gt;</t>
  </si>
  <si>
    <t>&lt;table class="Table" dir="ltr" id="_1585121135735" style="border: 1pt solid rgb(105, 105, 105); width: 231px; border-collapse: collapse; border-collapse : collapse; border-color : #696969;" width="0"&gt;	&lt;thead&gt;		&lt;tr style="page-break-inside:avoid"&gt;			&lt;td colspan="1" id="_1583912312659" rowspan="1" style="background-color:#d3d3d3; background:#d3d3d3 none repeat scroll 0% 0%; border-color:#696969; border-style:solid solid solid none; border-width:1pt 1pt 1pt medium; height:25px; padding:0cm 5.4pt; text-align:left; vertical-align:middle"&gt;			&lt;p id="_1583912312610" style="margin-bottom:8pt; margin-left:0cm; margin-right:0cm; margin-top:0cm"&gt;&lt;span style="font-family:Arial,Helvetica,sans-serif"&gt;&lt;span style="font-size:11pt"&gt;&lt;span style="line-height:107%"&gt;&lt;b&gt;&lt;span lang="EN-NZ" style="line-height:107%"&gt;Site Name&lt;/span&gt;&lt;/b&gt;&lt;/span&gt;&lt;/span&gt;&lt;/span&gt;&lt;/p&gt;			&lt;/td&gt;			&lt;td colspan="1" id="_1583912312662" rowspan="1" style="background-color:#d3d3d3; background:#d3d3d3 none repeat scroll 0% 0%; border-color:#696969; border-style:solid solid solid none; border-width:1pt 1pt 1pt medium; height:25px; padding:0cm 5.4pt; text-align:left; vertical-align:middle; width:85px"&gt;			&lt;p id="_1583912312613" style="margin-bottom:8pt; margin-left:0cm; margin-right:0cm; margin-top:0cm"&gt;&lt;span style="font-family:Arial,Helvetica,sans-serif"&gt;&lt;span style="font-size:11pt"&gt;&lt;span style="line-height:107%"&gt;&lt;b&gt;&lt;span lang="EN-NZ" style="line-height:107%"&gt;Site Status&lt;/span&gt;&lt;/b&gt;&lt;/span&gt;&lt;/span&gt;&lt;/span&gt;&lt;/p&gt;			&lt;/td&gt;		&lt;/tr&gt;		&lt;tr style="page-break-inside:avoid"&gt;			&lt;td colspan="1" id="_1583912312664" rowspan="1" style="border-color:#696969; border-style:none solid solid none; border-width:medium 1pt 1pt medium; height:25px; padding:0cm 5.4pt; text-align:left; vertical-align:middle"&gt;			&lt;p id="_1583912312615" style="margin-bottom:8pt; margin-left:0cm; margin-right:0cm; margin-top:0cm"&gt;&lt;span style="font-family:Arial,Helvetica,sans-serif"&gt;&lt;span style="font-size:11pt"&gt;&lt;span style="line-height:107%"&gt;&lt;span style="font-size:9pt"&gt;&lt;span style="line-height:107%"&gt;Midland Multistorey Car Park&lt;/span&gt;&lt;/span&gt;&lt;/span&gt;&lt;/span&gt;&lt;/span&gt;&lt;/p&gt;			&lt;/td&gt;			&lt;td colspan="1" id="_1583912312667" rowspan="1" style="border-color:#696969; border-style:none solid solid none; border-width:medium 1pt 1pt medium; height:25px; padding:0cm 5.4pt; text-align:left; vertical-align:middle; width:85px"&gt;			&lt;p id="_1583912312618" style="margin-bottom:8pt; margin-left:0cm; margin-right:0cm; margin-top:0cm"&gt;&lt;span style="font-family:Arial,Helvetica,sans-serif"&gt;&lt;span style="font-size:11pt"&gt;&lt;span style="line-height:107%"&gt;&lt;span style="font-size:9pt"&gt;&lt;span style="line-height:107%"&gt;New&lt;/span&gt;&lt;/span&gt;&lt;/span&gt;&lt;/span&gt;&lt;/span&gt;&lt;/p&gt;			&lt;/td&gt;		&lt;/tr&gt;		&lt;tr style="page-break-inside:avoid"&gt;			&lt;td colspan="1" id="_1583912312669" rowspan="1" style="border-color:#696969; border-style:none solid solid none; border-width:medium 1pt 1pt medium; height:25px; padding:0cm 5.4pt; text-align:left; vertical-align:middle"&gt;			&lt;p id="_1583912312621" style="margin-bottom:8pt; margin-left:0cm; margin-right:0cm; margin-top:0cm"&gt;&lt;span style="font-family:Arial,Helvetica,sans-serif"&gt;&lt;span style="font-size:11pt"&gt;&lt;span style="line-height:107%"&gt;&lt;span style="font-size:9pt"&gt;&lt;span style="line-height:107%"&gt;Midland Station&lt;/span&gt;&lt;/span&gt;&lt;/span&gt;&lt;/span&gt;&lt;/span&gt;&lt;/p&gt;			&lt;/td&gt;			&lt;td colspan="1" id="_1583912312672" rowspan="1" style="border-color:#696969; border-style:none solid solid none; border-width:medium 1pt 1pt medium; height:25px; padding:0cm 5.4pt; text-align:left; vertical-align:middle; width:85px"&gt;			&lt;p id="_1583912312624" style="margin-bottom:8pt; margin-left:0cm; margin-right:0cm; margin-top:0cm"&gt;&lt;span style="font-family:Arial,Helvetica,sans-serif"&gt;&lt;span style="font-size:11pt"&gt;&lt;span style="line-height:107%"&gt;&lt;span style="font-size:9pt"&gt;&lt;span style="line-height:107%"&gt;New&lt;/span&gt;&lt;/span&gt;&lt;/span&gt;&lt;/span&gt;&lt;/span&gt;&lt;/p&gt;			&lt;/td&gt;		&lt;/tr&gt;	&lt;/thead&gt;&lt;/table&gt;</t>
  </si>
  <si>
    <t>_1568306024508</t>
  </si>
  <si>
    <t>&lt;table border="1" cellpadding="0" cellspacing="0" dir="ltr" id="_1568306024508" style="border-color: rgb(105, 105, 105); margin-left: 0px; border-collapse: collapse;"&gt;	&lt;tbody&gt;		&lt;tr&gt;			&lt;th colspan="1" rowspan="1" style="width: 149px; background-color: rgb(211, 211, 211); height: 25px;"&gt;			&lt;p dir="ltr" id="_1568306024494" style="margin-left:0px"&gt;&lt;b&gt;&lt;span style="font-size:11pt"&gt;&lt;span style="font-family:Arial,Helvetica,sans-serif"&gt; &lt;/span&gt;&lt;span style="font-family:Arial,Helvetica,sans-serif"&gt;Deliverable Stage&lt;/span&gt;&lt;/span&gt;&lt;/b&gt;&lt;/p&gt;			&lt;/th&gt;			&lt;th colspan="1" rowspan="1" style="width: 477px; background-color: rgb(211, 211, 211); height: 25px;"&gt;			&lt;p dir="ltr" id="_1568306024495" style="margin-left:0px"&gt;&lt;b&gt;&lt;span style="font-size:11pt"&gt;&lt;span style="font-family:Arial,Helvetica,sans-serif"&gt; &lt;/span&gt;&lt;span style="font-family:Arial,Helvetica,sans-serif"&gt;Deliverables&lt;/span&gt;&lt;/span&gt;&lt;/b&gt;&lt;/p&gt;			&lt;/th&gt;		&lt;/tr&gt;		&lt;tr&gt;			&lt;td colspan="1" id="_1568306024509" rowspan="2" style="border-color:#696969; width:149px"&gt;			&lt;p dir="ltr" id="_1568306024496" style="margin-left:0px"&gt;&lt;span style="font-family:Arial,Helvetica,sans-serif; font-size:9pt"&gt; &lt;/span&gt;&lt;span style="font-family:Arial,Helvetica,sans-serif; font-size:9pt"&gt;&lt;b&gt;Detailed Design&lt;/b&gt;&lt;/span&gt;&lt;/p&gt;			&lt;/td&gt;			&lt;td colspan="1" id="_1568306024510" rowspan="1" style="border-color:#696969; vertical-align:top; width:477px"&gt;			&lt;p dir="ltr" id="_1568306024497" style="margin-left:0px"&gt;&lt;span style="font-size:9pt"&gt;&lt;span style="font-family:Arial,Helvetica,sans-serif"&gt; &lt;/span&gt;&lt;span style="font-family:Arial,Helvetica,sans-serif"&gt;&lt;b&gt;&lt;span lang="EN-AU"&gt;&lt;span style="line-height:115%"&gt;ESC Interaction Matrix&lt;/span&gt;&lt;/span&gt;: &lt;/b&gt;&lt;span lang="EN-AU"&gt;&lt;span style="line-height:115%"&gt;An ESC Interaction Matrix that documents the electromagnetic compatibility of all electrical systems and equipment used in the Works. Where the process identifies any new electrical systems and equipment not previously used within the electrified railway system which are identified as being a high risk of introducing potential electromagnetic disturbances, then the NOP shall prepare an EMC Control Plan and Risk Register for each electrical system or item of equipment considered to be a high risk.&lt;/span&gt;&lt;/span&gt;&lt;/span&gt;&lt;/span&gt;&lt;/p&gt;
			&lt;p dir="ltr" id="_1568306024498" style="margin-left:0px"&gt;&lt;span style="font-size:9pt"&gt;&lt;span lang="EN-AU"&gt;&lt;span style="line-height:115%"&gt;&lt;span style="font-family:&amp;quot;Arial&amp;quot;,sans-serif"&gt;T&lt;span style="font-family:Arial,Helvetica,sans-serif"&gt;he ESC Interaction Matrix must be prepared during the early Detailed Design phase of the Works and updated on a regular basis throughout the course of the design stages of the Works.&lt;/span&gt;&lt;/span&gt;&lt;/span&gt;&lt;/span&gt;&lt;/span&gt;&lt;/p&gt;			&lt;/td&gt;		&lt;/tr&gt;		&lt;tr&gt;			&lt;td colspan="1" id="_1568306024511" rowspan="1" style="border-color:#696969; vertical-align:top; width:477px"&gt;			&lt;p dir="ltr" id="_1568306024499" style="margin-left:0px"&gt;&lt;span style="font-size:9pt"&gt;&lt;span style="font-family:Arial,Helvetica,sans-serif"&gt; &lt;/span&gt;&lt;span style="font-family:Arial,Helvetica,sans-serif"&gt;&lt;b&gt;&lt;span lang="EN-AU"&gt;&lt;span style="line-height:115%"&gt;ESC Control Plan and Risk Register&lt;/span&gt;&lt;/span&gt;: &lt;/b&gt;Where required, an ESC Control Plan and associated Risk Register that documents the processes to be undertaken in the analysis and recommendations required to ensure ESC issues on the modified electrified rail network are suitably addressed to prevent malfunctioning of any electrical systems and equipment.&lt;/span&gt;&lt;/span&gt;&lt;/p&gt;
			&lt;p dir="ltr" id="_1568306705727" style="margin-left:0px"&gt;&lt;span style="font-size:9pt"&gt;&lt;span lang="EN-AU"&gt;&lt;span style="line-height:115%"&gt;&lt;span style="font-family:&amp;quot;Arial&amp;quot;,sans-serif"&gt;&lt;span style="font-family:Arial,Helvetica,sans-serif"&gt;Where required, the ESC Control Plan and associated Risk Register must be prepared during the early Detailed Design phase of the Works and updated on a regular basis throughout the course of the design stages of the Works.&lt;/span&gt;&lt;/span&gt;&lt;/span&gt;&lt;/span&gt;&lt;/span&gt;&lt;/p&gt;			&lt;/td&gt;		&lt;/tr&gt;		&lt;tr&gt;			&lt;td colspan="1" id="_1568306024512" rowspan="1" style="border-color:#696969; width:149px"&gt;			&lt;p dir="ltr" id="_1568306024500" style="margin-left:0px"&gt;&lt;span style="font-family:Arial,Helvetica,sans-serif; font-size:9pt"&gt; &lt;/span&gt;&lt;span style="font-family:Arial,Helvetica,sans-serif; font-size:9pt"&gt;&lt;b&gt;Detailed Design &lt;span style="background-color:null"&gt;and IFC&lt;/span&gt;&lt;/b&gt;&lt;/span&gt;&lt;/p&gt;			&lt;/td&gt;			&lt;td colspan="1" id="_1568306024513" rowspan="1" style="border-color:#696969; vertical-align:top; width:477px"&gt;			&lt;p dir="ltr" id="_1568306024501" style="margin-left:0px"&gt;&lt;span style="font-size:9pt"&gt;&lt;span style="font-family:Arial,Helvetica,sans-serif"&gt; &lt;/span&gt;&lt;span style="font-family:Arial,Helvetica,sans-serif"&gt;&lt;b&gt;&lt;span lang="EN-AU"&gt;&lt;span style="line-height:115%"&gt;ESC Interaction Matrix, Control Plan and Risk Register&lt;/span&gt;&lt;/span&gt;:  &lt;/b&gt;&lt;span lang="EN-AU"&gt;&lt;span style="line-height:115%"&gt;An updated ESC Interaction Matrix, and where required, Control Plan and Risk Register incorporating any NOP or PTA agreed changes during the later Detailed Design and IFC stages respectively.&lt;/span&gt;&lt;/span&gt;&lt;/span&gt;&lt;/span&gt;&lt;/p&gt;			&lt;/td&gt;		&lt;/tr&gt;	&lt;/tbody&gt;&lt;/table&gt;</t>
  </si>
  <si>
    <t>_1566891300923</t>
  </si>
  <si>
    <t>&lt;table border="1" cellpadding="0" cellspacing="0" dir="ltr" id="_1566891300923" style="border-color: rgb(105, 105, 105); margin-left: 0px; border-collapse: collapse;"&gt;	&lt;tbody&gt;		&lt;tr&gt;			&lt;th colspan="1" rowspan="1" style="width: 144px; background-color: rgb(211, 211, 211); height: 25px; text-align: left;"&gt;			&lt;p dir="ltr" id="_1566891300900" style="margin-left:0px"&gt;&lt;span style="font-size:11pt"&gt;&lt;b&gt;&lt;span style="font-family:Arial,Helvetica,sans-serif"&gt;Deliverable Stage&lt;/span&gt;&lt;/b&gt;&lt;/span&gt;&lt;/p&gt;			&lt;/th&gt;			&lt;th colspan="1" rowspan="1" style="width: 482px; background-color: rgb(211, 211, 211); height: 25px; text-align: left;"&gt;			&lt;p dir="ltr" id="_1566891300901" style="margin-left:0px"&gt;&lt;span style="font-size:11pt"&gt;&lt;span style="font-family:Arial,Helvetica,sans-serif"&gt; &lt;/span&gt;&lt;b&gt;&lt;span style="font-family:Arial,Helvetica,sans-serif"&gt;Deliverables&lt;/span&gt;&lt;/b&gt;&lt;/span&gt;&lt;/p&gt;			&lt;/th&gt;		&lt;/tr&gt;		&lt;tr&gt;			&lt;td colspan="1" id="_1566891300924" rowspan="1" style="border-color:#696969; width:144px"&gt;			&lt;p dir="ltr" id="_1566891300902" style="margin-left:0px"&gt;&lt;span style="font-family:Arial,Helvetica,sans-serif; font-size:9pt"&gt;&lt;b&gt;Reference Design&lt;/b&gt;&lt;/span&gt;&lt;/p&gt;			&lt;/td&gt;			&lt;td colspan="1" id="_1566891300925" rowspan="1" style="border-color:#696969; vertical-align:top; width:482px"&gt;			&lt;p dir="ltr" id="_1566891300903" style="margin-left:0px"&gt;&lt;span style="font-size:9pt"&gt;&lt;span lang="EN-AU"&gt;&lt;span style="line-height:115%"&gt;&lt;span style="font-family:&amp;quot;Arial&amp;quot;,sans-serif"&gt;Electrical hazards and interference methodology associated with the modifications to the electrified rail network shall be mitigated and minimised through the design process, including&lt;/span&gt;&lt;/span&gt;&lt;/span&gt;&lt;/span&gt;&lt;span style="font-family:Arial,Helvetica,sans-serif; font-size:9pt"&gt;:&lt;/span&gt;&lt;/p&gt;
			&lt;ol dir="ltr" id="_1566891300912" start="1" style="list-style-type:lower-roman"&gt;				&lt;li id="_1566891300915" style="margin-left: 0px;"&gt;&lt;span style="font-family:Arial,Helvetica,sans-serif; font-size:9pt"&gt;Detailed description of how compliance with the SWTC will be achieved by undertaking the following studies and reports:&lt;/span&gt;
				&lt;ol dir="ltr" id="_1566891300913" start="1" style="list-style-type:upper-alpha"&gt;					&lt;li id="_1566891300916" style="margin-left: 0px;"&gt;&lt;span style="font-family:Arial,Helvetica,sans-serif; font-size:9pt"&gt;Electrified Rail Network Investigation and Analysis;&lt;/span&gt;&lt;/li&gt;					&lt;li id="_1566891300917" style="margin-left: 0px;"&gt;&lt;span style="font-family:Arial,Helvetica,sans-serif; font-size:9pt"&gt;Earthing and Bonding strategy;&lt;/span&gt;&lt;/li&gt;					&lt;li id="_1568305317925" style="margin-left: 0px;"&gt;&lt;span style="font-family:Arial,Helvetica,sans-serif; font-size:9pt"&gt;Earthing and Bonding verification; and&lt;/span&gt;&lt;/li&gt;					&lt;li id="_1568305317926" style="margin-left: 0px;"&gt;&lt;span style="font-family:Arial,Helvetica,sans-serif; font-size:9pt"&gt;Earthing and Bonding acceptance.&lt;/span&gt;&lt;/li&gt;				&lt;/ol&gt;				&lt;/li&gt;				&lt;li id="_1566891300918" style="margin-left: 0px;"&gt;&lt;span style="font-family:Arial,Helvetica,sans-serif; font-size:9pt"&gt;Description of key philosophies and major constraints in the identification, assessment and mitigation of any HV electrical hazards and interference works.&lt;/span&gt;&lt;/li&gt;				&lt;li id="_1566891300919" style="margin-left: 0px;"&gt;&lt;span style="font-family:Arial,Helvetica,sans-serif; font-size:9pt"&gt;Description of any identified major non-compliances to the HV electrical hazards and interference works.&lt;/span&gt;&lt;/li&gt;				&lt;li id="_1566891300920" style="margin-left: 0px;"&gt;&lt;span style="font-family:Arial,Helvetica,sans-serif; font-size:9pt"&gt;Description of any identified major design risks associated with the HV electrical hazards and interference works.&lt;/span&gt;&lt;/li&gt;			&lt;/ol&gt;			&lt;/td&gt;		&lt;/tr&gt;		&lt;tr&gt;			&lt;td colspan="1" id="_1566891300926" rowspan="2" style="border-color:#696969; width:144px"&gt;			&lt;p dir="ltr" id="_1566891300904" style="margin-left:0px"&gt;&lt;span style="font-family:Arial,Helvetica,sans-serif; font-size:9pt"&gt;&lt;b&gt;Early Detailed Design&lt;/b&gt;&lt;/span&gt;&lt;/p&gt;			&lt;/td&gt;			&lt;td colspan="1" id="_1566891300927" rowspan="1" style="border-color:#696969; vertical-align:top; width:482px"&gt;			&lt;p dir="ltr" id="_1566891300905" style="margin-left:0px"&gt;&lt;span style="font-size:9pt"&gt;&lt;span style="font-family:Arial,Helvetica,sans-serif"&gt;&lt;b&gt;Electrified Rail Network Investigation and Analysis: &lt;/b&gt;An investigation and analysis Report that summarises the processes to be undertaken in the investigation, analysis and recommendations required to ensure potential HV electrical hazards and interference on the modified electrified rail network are maintained at a safe level prescribed by PTA’s Earthing and Bonding Specification and prevent malfunctioning of all railway systems and equipment. &lt;/span&gt;&lt;span lang="EN-AU"&gt;&lt;span style="line-height:115%"&gt;&lt;span style="font-family:&amp;quot;Arial&amp;quot;,sans-serif"&gt;The Report must also consider any potential issues associated with the existing Western Power 132kV AC aerial transmission line.&lt;/span&gt;&lt;/span&gt;&lt;/span&gt;&lt;/span&gt;&lt;/p&gt;
			&lt;p dir="ltr" id="_1568305317924" style="margin-left:0px"&gt;&lt;span style="font-size:9pt"&gt;&lt;span lang="EN-AU"&gt;&lt;span style="line-height:115%"&gt;&lt;span style="font-family:&amp;quot;Arial&amp;quot;,sans-serif"&gt;The investigation and analysis Report must be prepared during the early Detailed Design phase of the Works and updated on a regular basis throughout the course of the design stages of the Works.&lt;/span&gt;&lt;/span&gt;&lt;/span&gt;&lt;/span&gt;&lt;/p&gt;			&lt;/td&gt;		&lt;/tr&gt;		&lt;tr&gt;			&lt;td colspan="1" id="_1566891300928" rowspan="1" style="border-color:#696969; vertical-align:top; width:482px"&gt;			&lt;p dir="ltr" id="_1566891300906" style="margin-left:0px"&gt;&lt;span style="font-size:9pt"&gt;&lt;span style="font-family:Arial,Helvetica,sans-serif"&gt;&lt;b&gt;Earthing and Bonding Strategy: &lt;/b&gt;&lt;/span&gt;&lt;span lang="EN-AU"&gt;&lt;span style="line-height:115%"&gt;&lt;span style="font-family:&amp;quot;Arial&amp;quot;,sans-serif"&gt;An Earthing and Bonding Strategy Report that documents the proposed Earthing and Bonding strategy to be implemented for the Midland Station and all associated Rail Infrastructure Works. The strategy Report must be prepared during the early Detailed Design phase of the Works and updated on a regular basis throughout the course of the design stages of the Works&lt;/span&gt;&lt;/span&gt;&lt;/span&gt;&lt;span style="font-family:Arial,Helvetica,sans-serif"&gt;.&lt;/span&gt;&lt;/span&gt;&lt;/p&gt;			&lt;/td&gt;		&lt;/tr&gt;		&lt;tr&gt;			&lt;td colspan="1" id="_1566891300929" rowspan="2" style="border-color:#696969; width:144px"&gt;			&lt;p dir="ltr" id="_1566891300907" style="margin-left:0px"&gt;&lt;span style="font-family:Arial,Helvetica,sans-serif; font-size:9pt"&gt;&lt;b&gt;Detailed Design &lt;/b&gt;&lt;/span&gt;&lt;/p&gt;			&lt;/td&gt;			&lt;td colspan="1" id="_1566891300930" rowspan="1" style="border-color:#696969; vertical-align:top; width:482px"&gt;			&lt;p dir="ltr" id="_1566891300908" style="margin-left:0px"&gt;&lt;span style="font-size:9pt"&gt;&lt;span style="font-family:Arial,Helvetica,sans-serif"&gt;&lt;b&gt;Electrified Rail Network Investigation and Analysis:  &lt;/b&gt;&lt;/span&gt;&lt;span lang="EN-AU"&gt;&lt;span style="line-height:115%"&gt;&lt;span style="font-family:&amp;quot;Arial&amp;quot;,sans-serif"&gt;An updated investigation and analysis Report incorporating any Alliance or PTA agreed changes during the late Detailed Design and IFC stages respectively&lt;/span&gt;&lt;/span&gt;&lt;/span&gt;&lt;span style="font-family:Arial,Helvetica,sans-serif"&gt;.&lt;/span&gt;&lt;/span&gt;&lt;/p&gt;			&lt;/td&gt;		&lt;/tr&gt;		&lt;tr&gt;			&lt;td colspan="1" id="_1566891300931" rowspan="1" style="border-color:#696969; vertical-align:top; width:482px"&gt;			&lt;p dir="ltr" id="_1566891300909" style="margin-left:0px"&gt;&lt;span style="font-size:9pt"&gt;&lt;span style="font-family:Arial,Helvetica,sans-serif"&gt;&lt;b&gt;Earthing and Bonding Strategy:  &lt;/b&gt;&lt;/span&gt;&lt;span lang="EN-AU"&gt;&lt;span style="line-height:115%"&gt;&lt;span style="font-family:&amp;quot;Arial&amp;quot;,sans-serif"&gt;An updated  Earthing and Bonding Strategy Report incorporating any Alliance or PTA agreed changes during the Developed and late Detailed Design and IFC stages respectively&lt;/span&gt;&lt;/span&gt;&lt;/span&gt;&lt;span style="font-family:Arial,Helvetica,sans-serif"&gt;.&lt;/span&gt;&lt;/span&gt;&lt;/p&gt;			&lt;/td&gt;		&lt;/tr&gt;		&lt;tr&gt;			&lt;td colspan="1" id="_1566891300932" rowspan="1" style="border-color:#696969; width:144px"&gt;			&lt;p dir="ltr" id="_1566891300910" style="margin-left:0px"&gt;&lt;span style="font-family:Arial,Helvetica,sans-serif; font-size:9pt"&gt;&lt;b&gt;Construction and Acceptance&lt;/b&gt;&lt;/span&gt;&lt;/p&gt;			&lt;/td&gt;			&lt;td colspan="1" id="_1566891300933" rowspan="1" style="border-color:#696969; vertical-align:top; width:482px"&gt;			&lt;p dir="ltr" id="_1566891300911" style="margin-left:0px"&gt;&lt;span style="font-size:9pt"&gt;&lt;span lang="EN-AU"&gt;&lt;span style="line-height:115%"&gt;&lt;span style="font-family:&amp;quot;Arial&amp;quot;,sans-serif"&gt;Provide all obligatory construction and Acceptance deliverables for the HV electrical hazards and interference works required to be provided for the Midland Station and all associated Rail Infrastructure Works in accordance with the PTA procedures, specifications and in particular PTA’s Earthing and Bonding Specification, including&lt;/span&gt;&lt;/span&gt;&lt;/span&gt;&lt;span style="font-family:Arial,Helvetica,sans-serif"&gt;:&lt;/span&gt;&lt;/span&gt;&lt;/p&gt;
			&lt;ol dir="ltr" id="_1566891300914" start="1" style="list-style-type:lower-roman"&gt;				&lt;li id="_1566891300921" style="margin-left: 0px;"&gt;&lt;span style="font-size:9pt"&gt;&lt;span style="font-family:Arial,Helvetica,sans-serif"&gt;An Earthing and Bonding Verification Testing Report; and&lt;/span&gt;&lt;/span&gt;&lt;/li&gt;				&lt;li id="_1566891300922" style="margin-left: 0px;"&gt;&lt;span style="font-size:9pt"&gt;&lt;span style="font-family:Arial,Helvetica,sans-serif"&gt;An Earthing and Bonding Acceptance Report.&lt;/span&gt;&lt;/span&gt;&lt;/li&gt;			&lt;/ol&gt;			&lt;/td&gt;		&lt;/tr&gt;	&lt;/tbody&gt;&lt;/table&gt;</t>
  </si>
  <si>
    <t>Name</t>
  </si>
  <si>
    <t>Type</t>
  </si>
  <si>
    <t>GUID</t>
  </si>
  <si>
    <t>Notes</t>
  </si>
  <si>
    <t>Phase</t>
  </si>
  <si>
    <t>Version</t>
  </si>
  <si>
    <t>Stereotype</t>
  </si>
  <si>
    <t>Fully Qualified Stereotype</t>
  </si>
  <si>
    <t>Language</t>
  </si>
  <si>
    <t>Alias</t>
  </si>
  <si>
    <t>Status</t>
  </si>
  <si>
    <t>Keywords</t>
  </si>
  <si>
    <t>Created Date</t>
  </si>
  <si>
    <t>Modified Date</t>
  </si>
  <si>
    <t>Profile Metatype</t>
  </si>
  <si>
    <t>TagValue_a. Requirement Text</t>
  </si>
  <si>
    <t>TagValue_b. Artifact Type</t>
  </si>
  <si>
    <t>TagValue_c. Source</t>
  </si>
  <si>
    <t>TagValue_d. Apportionment</t>
  </si>
  <si>
    <t>TagValue_e. Rationale</t>
  </si>
  <si>
    <t>TagValue_Supporting information from Interface Register</t>
  </si>
  <si>
    <t>TagValue_f. Requirement Status</t>
  </si>
  <si>
    <t>TagValue_g. Criticality Level</t>
  </si>
  <si>
    <t>TagValue_h. Quality Flaw</t>
  </si>
  <si>
    <t>TagValue_i. Validation Method</t>
  </si>
  <si>
    <t>TagValue_j. Verification Method</t>
  </si>
  <si>
    <t>CSV_KEY</t>
  </si>
  <si>
    <t>CSV_PARENT_KEY</t>
  </si>
  <si>
    <t>GSP-RH-0002: Delphi Interface Requirements</t>
  </si>
  <si>
    <t>Requirement</t>
  </si>
  <si>
    <t>{AF8A8763-12A0-41c1-81CB-63F83EBA6E1B}</t>
  </si>
  <si>
    <t>requirement</t>
  </si>
  <si>
    <t>SysML1.4::requirement</t>
  </si>
  <si>
    <t>&lt;none&gt;</t>
  </si>
  <si>
    <t>Admin</t>
  </si>
  <si>
    <t>Public</t>
  </si>
  <si>
    <t>SysML1.4::Requirement</t>
  </si>
  <si>
    <t>CSVB0F99EF6</t>
  </si>
  <si>
    <t>CSV03B2E228</t>
  </si>
  <si>
    <t>GSP-RH-0001: Green Systems Interface Requirements</t>
  </si>
  <si>
    <t>{0FA3DE23-9446-42bc-A097-F6420F5DFA0F}</t>
  </si>
  <si>
    <t>{F5745D30-2D99-4208-B122-75B98F7B74FE}</t>
  </si>
  <si>
    <t>interfaceRequirement</t>
  </si>
  <si>
    <t>SysML1.4::interfaceRequirement</t>
  </si>
  <si>
    <t>SysML1.4::InterfaceRequirement</t>
  </si>
  <si>
    <t>005OP-0000-005-002 Snowflake (Wind)|855DC-1541-DEL Delphi_x000D_
Project - Subsystem Interface_x000D_
Technical-Data/Software_x000D_
Wind Actuals - Field Measurement Data (Multiple Heights)_x000D_
The purpose of this interface is to allow Delphi to collect wind actuals from on-site field instruments, which provide measured wind speeds at multiple heights. Delphi uses this data to validate wind forecasts, support operational decision-making, and improve modelling accuracy for short-term planning._x000D_
The criticality level is HIGH because accurate multi-height wind measurements are essential for validating forecast models and supporting reliable near-term operational planning. Failure compromises modelling accuracy.</t>
  </si>
  <si>
    <t>CSV0539C443</t>
  </si>
  <si>
    <t>{550B5AEB-6338-4d71-8E5A-F13A7C8F0960}</t>
  </si>
  <si>
    <t>005OP-0000-005-006 Atevia (Solar NSJ)|855DC-1541-DEL Delphi_x000D_
Project - Subsystem Interface_x000D_
Technical-Data/Software_x000D_
Atevia PI - North Star Junction Solar Irradiance Actuals_x000D_
The purpose of this interface is for Eclipse to consume real-time and historical irradiance (W/m2) measurements provided by the Atevia PI web API from the North Star Junction solar farm. Eclipse uses this data to understand actual solar resource availability, validate forecast performance, and support short-term operational decisions for solar generation and Battery Energy Storage System (BESS) management._x000D_
The criticality level is HIGH because accurate irradiance actuals are essential for near-term operational awareness, forecast validation, and reliable solar generation planning. Failure can compromise short-term operational decisions.</t>
  </si>
  <si>
    <t>CSVAEAD4484</t>
  </si>
  <si>
    <t>{D430BD6F-4CDF-4c7d-8DF5-8DBF558C42ED}</t>
  </si>
  <si>
    <t>Vaisala|855DC-1541-DEL Delphi_x000D_
External Software - Project Interface_x000D_
Technical-Data/Software_x000D_
Vaisala -Wind Forecast API Integration_x000D_
The purpose of this interface is to allow Delphi to consume the high-resolution wind forecasting provided by Vaisala via API to support short-term operational planning. These forecasts - covering wind speed, direction, and gust information - help operators anticipate generation impacts, manage variability, and adjust site operations proactively._x000D_
The criticality level is HIGH because accurate and timely wind forecasts are essential for maintaining reliable operational planning. Failure risks safety considerations and prevents proactive management of wind-sensitive generation.</t>
  </si>
  <si>
    <t>CSV217EF76F</t>
  </si>
  <si>
    <t>{9B5DD6F4-9515-4f1c-B027-555821E73CF1}</t>
  </si>
  <si>
    <t>CSVA818737E</t>
  </si>
  <si>
    <t>{21DCB04F-9D25-4121-BE92-FA06152FA354}</t>
  </si>
  <si>
    <t>The interface shall ensure that SCADA load-data latency does not exceed 2 seconds end-to-end, measured from data capture to availability in the consuming system, to meet the operational threshold required for safe real-time decision-making.</t>
  </si>
  <si>
    <t>005OP-0000-017 Ignition|855DC-1541-DEL Delphi_x000D_
Project - Project Interface_x000D_
Technical-Data/Software_x000D_
This interface supplies operational data for ground-truth load for plan/forecast vs. actual load calculations._x000D_
This interface is rated HIGH because it provides the authoritative operational load data required to maintain an accurate view of total system demand. Loss, delay, or corruption of this data undermines the integrity of load calculations and forecasting models, increasing the risk of overload conditions, incorrect dispatch or curtailment decisions, and potential safety incidents. Reliable ground-truth data is essential for maintaining power system stability and operational assurance.</t>
  </si>
  <si>
    <t>CSV66DD05F3</t>
  </si>
  <si>
    <t>{B8C5A873-AF2A-4919-B858-65D4D4BE397F}</t>
  </si>
  <si>
    <t>CSV134F3236</t>
  </si>
  <si>
    <t>{31D0044C-5024-44ac-BABC-0921F4CFAEF0}</t>
  </si>
  <si>
    <t>855DC-1541-DEL Delphi|855DC-1543-007 MECO_x000D_
Project - Subsystem Interface_x000D_
_x000D_
Interface Review 25/11/2025: Meco functionality of load forecasting might now be a subsystem of Delphi._x000D_
N/A</t>
  </si>
  <si>
    <t>CSV9E3947CC</t>
  </si>
  <si>
    <t>{D5833BA9-7138-4427-AFA9-0F259C66A1D6}</t>
  </si>
  <si>
    <t>The interface shall support short-term planning horizons of at least 48 hours ahead using BOM forecast data.</t>
  </si>
  <si>
    <t>BoM|855DC-1541-DEL Delphi_x000D_
External Software - Project Interface_x000D_
Technical-Data/Software_x000D_
Delphi data transfer through Snowflake (BOM API)_x000D_
The purpose of this interface is to provide Eclipse with up-to-date Bureau of Meteorology (BOM) weather forecasts and actuals to support the short-term planning cycle (up to 48 hours ahead) and to build long-term planning models from historical data. This weather data includes wind, solar, rain, and lightning. Additionally, Elysia Battery Energy Storage System (BESS) state of charge (SoC) actuals are provided to Delphi to support operational decisions regarding charging, discharging, and curtailment._x000D_
The criticality level is HIGH because failure to receive timely BOM forecast and actual weather data will cause near- and long-term mine plans to be inaccurate, severely compromising planning feasibility.</t>
  </si>
  <si>
    <t>CSV025EA76A</t>
  </si>
  <si>
    <t>{B7A8E43D-37E8-484b-A3DC-7E5C87BAE6B7}</t>
  </si>
  <si>
    <t>Continuous access to historical and actual data is required to support accurate short-term planning; interruptions or gaps degrade forecast quality and decision-making.</t>
  </si>
  <si>
    <t>005OP-0000-006 Snowflake (General)|855DC-1541-DEL Delphi_x000D_
Project - Project Interface_x000D_
Technical-Data/Software_x000D_
This interface collects general actuals and historical data residing in Snowflake. Snowflake provides a 'time travel' function, which is from 1 day (default) up to a maximum of 90 days._x000D_
This interface is rated HIGH because accurate historical and actual data underpins short-term forecasting, model validation, and operational planning accuracy. Loss or corruption of this data materially degrades forecast reliability, increasing the risk of incorrect generation dispatch, inefficient curtailment decisions, and potential instability in power management. Reliable historical data is essential for maintaining confidence in optimisation and planning outputs.</t>
  </si>
  <si>
    <t>CSV52ED03E4</t>
  </si>
  <si>
    <t>{C83AD892-0635-4809-A1E0-F7AF75AAED47}</t>
  </si>
  <si>
    <t>005OP-0000-012 SAP|855DC-1541-DEL Delphi_x000D_
Project - Project Interface_x000D_
Technical-Data/Software_x000D_
SAP Work Orders - Equipment Downtime &amp; Maintenance (Snowflake Integration)_x000D_
The purpose of this interface is to surface work order data from SAP in Snowflake so Eclipse can query and understand when in-field equipment (e.g., solar arrays, sensors) is down due to planned or unplanned events. This enables better correlation between asset performance, weather conditions, and operational constraints, including generation outages, planned maintenance, and sensor cleaning._x000D_
Intermediate Elements: Snowflake (storage and query layer for SAP work order and downtime history)._x000D_
The criticality level is HIGH because accurate visibility of equipment downtime is essential for interpreting production impacts and improving forecast accuracy. Failure risks inaccurate energy balance predictions, leading to inefficient generation control.</t>
  </si>
  <si>
    <t>CSV9D9C3923</t>
  </si>
  <si>
    <t>{2518AB8C-2FDB-4675-9BC5-94918166FAB4}</t>
  </si>
  <si>
    <t>005OP-0000-005-004 Solstice|855DC-1541-DEL Delphi_x000D_
Project - Subsystem Interface_x000D_
Technical-Data/Software_x000D_
Solstice AI - North Star Junction Irradiance Forecasting_x000D_
The purpose of this interface is for Solstice AI to provide high-resolution solar irradiance forecasting for the North Star Junction site to support short-term operational decision-making. These forecasts will specifically help operators to anticipate changes in solar generation, adjust dispatch, and manage Battery Energy Storage System (BESS) behaviour proactively._x000D_
The criticality level is HIGH because accurate near-term irradiance forecasts are essential for reliable solar output planning and maintaining stability of site operations. Failure risks incorrect dispatch and management of BESS behaviour.</t>
  </si>
  <si>
    <t>CSV6AEEAB6A</t>
  </si>
  <si>
    <t>{BBD49451-2BD5-438d-9BF1-07610C67E24E}</t>
  </si>
  <si>
    <t>Energy Operations (HIVE)|855DC-1541-DEL Delphi_x000D_
Stakeholder - Project Interface_x000D_
Technical-Data/Software_x000D_
Delphi - Aggregated Weather Platform for Actuals &amp; Forecasts (HIVE Display)_x000D_
The purpose of this interface is for Delphi to serve as the central aggregated weather platform, combining actual measured weather data and multiple forecast sources into a single operational view. Energy Operations uses Delphi to monitor real-time and near-term weather conditions - such as wind, irradiance, rainfall, and lightning - via a dedicated display screen in the HIVE control room._x000D_
Intermediate Elements: the Delphi weather aggregation platform, Snowflake datasets, and the HIVE visualisation screen._x000D_
The criticality level is HIGH because reliable, consolidated weather visibility is essential for operational decision-making, forecasting accuracy, and reacting to rapidly changing conditions that affect generation, safety, and dispatch. Failure of this interface causes immediate blindness to changing conditions (e.g., wind gusts or solar drops), risking system instability, inaccurate generation curtailment, or compromising safety protocols (e.g., lightning warnings).</t>
  </si>
  <si>
    <t>CSV4BF5FE4C</t>
  </si>
  <si>
    <t>{2CDA2D53-FF89-430f-8CA0-CA12D884C7A9}</t>
  </si>
  <si>
    <t>The interface shall deliver Cimplicity data with an end-to-end latency of no more than 5 seconds and a data-feed availability of at least 99.9% per month, to support real-time load curtailment and control decisions.</t>
  </si>
  <si>
    <t>005OP-0000-013 Cimplicity|855DC-1541-DEL Delphi_x000D_
Project - Project Interface_x000D_
Technical-Data/Software_x000D_
This interface provides real-time operational data from fixed plant control systems for calculating actual loads._x000D_
The criticality level is HIGH because failure prevents accurate real-time load assessment, which is essential for load curtailment and control decisions. Failure risks serious safety incidents and the need for major operational replanning.</t>
  </si>
  <si>
    <t>CSV397FA795</t>
  </si>
  <si>
    <t>{644EE210-DB43-45f2-9C41-BB595F8DD0A7}</t>
  </si>
  <si>
    <t>CSVF0724FF0</t>
  </si>
  <si>
    <t>{B88D511A-39DD-4496-849F-85646563DE24}</t>
  </si>
  <si>
    <t>CSV3E0433D6</t>
  </si>
  <si>
    <t>{0B1447A7-F0D3-4116-8F45-742CE53DF822}</t>
  </si>
  <si>
    <t>DNV|855DC-1541-DEL Delphi_x000D_
External Software - Project Interface_x000D_
Technical-Data/Software_x000D_
DNV - External Wind Forecast Provider_x000D_
The purpose of this interface is for Delphi to integrate with DNV to receive external wind forecast data in support of short-term and medium-term operational planning. These forecasts include wind speed, direction, and related metrics, enabling comparison against internal forecasts, improving confidence in planning decisions, and informing generation and curtailment strategies._x000D_
Intermediate Elements: Snowflake (storage and distribution of DNV wind forecast data)._x000D_
The criticality level is HIGH because independent, high-quality wind forecasts are important for validating internal models and reducing forecast risk. Failure impacts the reliability of generation and curtailment strategies.</t>
  </si>
  <si>
    <t>CSV137904B8</t>
  </si>
  <si>
    <t>{23691D1F-4EAB-4502-BFBB-DBB42BD2F888}</t>
  </si>
  <si>
    <t>The interface shall deliver Weatherzone forecast updates at a interval of every 15 minutes that supports proactive adjustment of site activities in response to volatile weather.</t>
  </si>
  <si>
    <t>005OP-0000-005-005 Weatherzone|855DC-1541-DEL Delphi_x000D_
Project - Subsystem Interface_x000D_
Technical-Data/Software_x000D_
Weatherzone - Rain &amp; Lightning Forecasting (Snowflake Integration)_x000D_
The purpose of this interface is to allow Delphi to consume near-term rain and lightning forecast data provided by Weatherzone through Snowflake to support operator awareness and short-horizon planning. This information helps operators anticipate weather-driven impacts on operations, producing energy, manage risk, and adjust site activities proactively._x000D_
The criticality level is HIGH because timely rain and lightning forecasts are essential for maintaining safe and reliable operational planning. Failure risks safety and prevents proactive adjustment of site activities during volatile weather.</t>
  </si>
  <si>
    <t>CSVCD108FFB</t>
  </si>
  <si>
    <t>{AE2540E8-5108-4cea-B317-BD6F88685B23}</t>
  </si>
  <si>
    <t>The interface must deliver DNV wind forecasts that include wind speed in meters per second (m/s), wind direction in degrees, and gust speed in meters per second (m/s). These forecasts should be updated every 10 minutes and use a consistent timestamp format. The system must ensure that the total data latency from the source to the interface does not exceed 2 minutes, allowing for direct quantitative comparison with internal forecast models.</t>
  </si>
  <si>
    <t>CSV7228C952</t>
  </si>
  <si>
    <t>{C9DF9207-BABB-4122-94B9-6B9DB089CAE0}</t>
  </si>
  <si>
    <t>CSVE3A46D6E</t>
  </si>
  <si>
    <t>{04296803-9636-4765-B588-D5FB330ED253}</t>
  </si>
  <si>
    <t>The interface shall retain historical Bureau of Meteorology (BOM) forecast and actuals data for a minimum period of five years, ensuring data is accessible with a retrieval latency not exceeding 5 seconds per query, to support long-term planning model development and back-testing.</t>
  </si>
  <si>
    <t>CSV0D14282F</t>
  </si>
  <si>
    <t>{7D97BD99-97A1-44a0-AC0D-2FA9E97D8601}</t>
  </si>
  <si>
    <t>Green Systems Interface Register, Interface DGS-I_0023</t>
  </si>
  <si>
    <t>859DC-1410-001 HaulX|855DC-1541-DEL Delphi_x000D_
Project - Project Interface_x000D_
Technical-Data/Software_x000D_
This interface provides a near-term forecast of fleet energy consumption. This depends on the HaulX forecast horizon, based on a dispatch plan and mine plan. 30-40% of load based on mobile asset energy consumption. Frequency, resolution and horizon need to be determined for truck and excavator fleet on charge. State of charge, estimated time of completion._x000D_
The criticality level is LOW because, although Delphi receives fleet energy forecasts from HaulX to support planning and optimisation, the interface does not affect real-time haulage operations, safety, or production continuity. If the interface fails, Haulage and mine operations continue normally, though forecast accuracy and decision-making may be reduced.</t>
  </si>
  <si>
    <t>CSVB796F45B</t>
  </si>
  <si>
    <t>{2B365404-C532-4382-98B3-C4DCD4C312BA}</t>
  </si>
  <si>
    <t>CSV95602D34</t>
  </si>
  <si>
    <t>{B76CFD8C-FBBB-479d-9CF2-95881EA17455}</t>
  </si>
  <si>
    <t>CSV31DA1106</t>
  </si>
  <si>
    <t>{D84373E2-CCD8-4ff3-AEA8-32011AEACC34}</t>
  </si>
  <si>
    <t>CSV18F959B1</t>
  </si>
  <si>
    <t>{612180EC-5313-4feb-A706-D9B72BB62C6B}</t>
  </si>
  <si>
    <t>The interface shall transmit multi-height wind-speed measurements from field instruments to Delphi at a resolution of 1-minute intervals, with each update containing wind speed and direction at all instrumented heights, to support forecast validation and short-term planning.</t>
  </si>
  <si>
    <t>CSV16F8B616</t>
  </si>
  <si>
    <t>{00811B9B-73C5-467f-890C-7860AE7FD5A2}</t>
  </si>
  <si>
    <t>The interface shall update the HIVE weather display at a minimum cadence of once every 30 seconds, with end-to-end data latency not exceeding 10 seconds, to support real-time monitoring of conditions affecting generation, safety, and dispatch.</t>
  </si>
  <si>
    <t>CSVEF9BD152</t>
  </si>
  <si>
    <t>{DFEDBDF1-0C83-4543-B749-ADD2517F756B}</t>
  </si>
  <si>
    <t>CSVC516BDBF</t>
  </si>
  <si>
    <t>{BB3F080B-F8A9-48f5-8EFB-C7C90852DD93}</t>
  </si>
  <si>
    <t>The interface shall update Vaisala wind forecasts at a minimum cadence of once every 10 minutes, with end-to-end data latency not exceeding 2 minutes, to support proactive management of wind-sensitive generation and operations.</t>
  </si>
  <si>
    <t>CSVC56F3693</t>
  </si>
  <si>
    <t>{936332B0-E024-40c2-9A52-5BCD7B2A5C6D}</t>
  </si>
  <si>
    <t>The interface shall provide irradiance data at a temporal resolution of 5 seconds or better, with end-to-end data latency not exceeding 2 seconds, to support short-term operational decisions for solar generation and Battery Energy Storage System (BESS) management.</t>
  </si>
  <si>
    <t>Near-term decisions require up-to-date and granular irradiance data._x000D_
Temporal resolution refers to the frequency at which data is collected or updated over time. It defines how often measurements or data points are recorded within a specific period. High temporal resolution means data is captured at short, frequent intervals, providing more detailed information about changes over time. Conversely, low temporal resolution means data is collected at longer intervals, offering less detail about rapid variations._x000D_
For example, if weather data is updated every second, it has a high temporal resolution. If it's updated once an hour, the temporal resolution is low. Temporal resolution is critical in systems where timely data is essential for making real-time decisions, such as monitoring energy generation or controlling dynamic operations.</t>
  </si>
  <si>
    <t>CSV986E0A97</t>
  </si>
  <si>
    <t>{3DF9656C-6C52-4ef3-8CCD-1E035FF27CE2}</t>
  </si>
  <si>
    <t>855DC-1541-DEL Delphi|855DC-1542-009 Elysia_x000D_
Project - Project Interface_x000D_
Technical-Data/Software_x000D_
Elysia BESS -State of Charge Actuals (Atevia Web API)_x000D_
The purpose of this interface is for Delphi to consume the real-time state of charge (SoC) and related battery performance metrics for the BESS via the Atevia Web API used by Energy Operations. These SoC actuals support short-term operational decision-making, including when to charge, discharge, or curtail based on site conditions and energy demand._x000D_
Intermediate Elements: Snowflake (storage and distribution of BESS SoC actuals)._x000D_
The criticality level is HIGH because accurate and timely SoC information is essential for safe and efficient BESS operation, energy optimisation, and maintaining system stability. Failure compromises operational decision-making.</t>
  </si>
  <si>
    <t>CSV950AA236</t>
  </si>
  <si>
    <t>{AEC929CD-1DE2-4749-8E42-AB496AA29EDA}</t>
  </si>
  <si>
    <t>CSV1DAD89CB</t>
  </si>
  <si>
    <t>{F6CE920F-A0F6-4ec5-9C5A-B48D57174EE1}</t>
  </si>
  <si>
    <t>The interface shall maintain a minimum availability of 99.9% each calendar month, allowing no more than 43.2 minutes of unplanned downtime per month, to ensure planning and forecasting accuracy is not materially degraded</t>
  </si>
  <si>
    <t>CSV71622102</t>
  </si>
  <si>
    <t>{423836CC-9FE4-4ad2-8C2D-B69B0611331E}</t>
  </si>
  <si>
    <t>CSV783C2B91</t>
  </si>
  <si>
    <t>{525D7D09-CFBE-4eaa-8130-60ABEFF4D0D0}</t>
  </si>
  <si>
    <t>CSV70A2D550</t>
  </si>
  <si>
    <t>{2A281A05-5ED8-4b7a-AE1B-557D73E7C880}</t>
  </si>
  <si>
    <t>CSV14982BE5</t>
  </si>
  <si>
    <t>{63A1F8CC-FD40-47bb-9751-8C6109CE0DF2}</t>
  </si>
  <si>
    <t>CSV1D2A0F1B</t>
  </si>
  <si>
    <t>{07383DFB-C586-474c-BA3E-F0491EF7122D}</t>
  </si>
  <si>
    <t>005OP-0000-005-003 Snowflake (Weather)|855DC-1541-DEL Delphi_x000D_
Project - Subsystem Interface_x000D_
Technical-Data/Software_x000D_
Weather Actuals - 15-Year Historical Weather Dataset (Snowflake)_x000D_
The purpose of this interface is to provide up to 15 years of historical weather data - including rain, wind, lightning, and other key variables - via Snowflake through the Weather Actuals system. Eclipse uses this long-term dataset to train and validate forecasting models, analyse historical patterns, and support long-term operational and strategic planning._x000D_
The criticality level is HIGH because a deep and accurate historical weather record is essential for building reliable forecasting models. Failure compromises long-term operational and strategic planning decisions.</t>
  </si>
  <si>
    <t>CSVBA192B04</t>
  </si>
  <si>
    <t>{9590157E-5854-424b-AF3E-30FB96AAB124}</t>
  </si>
  <si>
    <t>CSV77745718</t>
  </si>
  <si>
    <t>{59B873C4-411D-4bcb-B567-E4DF9F1AE8AE}</t>
  </si>
  <si>
    <t>CSVD2727864</t>
  </si>
  <si>
    <t>{A34CC6E7-A2F4-4163-9D8B-4983799D3C6A}</t>
  </si>
  <si>
    <t>CSVD470A36B</t>
  </si>
  <si>
    <t>{16FB079F-7F33-4412-83A6-E006BC77757A}</t>
  </si>
  <si>
    <t>CSV8C23F5B4</t>
  </si>
  <si>
    <t>{0EB28529-E341-4876-9EFA-937D81EF2838}</t>
  </si>
  <si>
    <t>The interface shall provide Heavy Mining Equipment (HME) operational and load-profile input data to Delphi at a frequency of 1 Hz (one update per second), with a maximum end-to-end latency of up to 2 seconds, to support fleet simulation and energy feasibility analysis.</t>
  </si>
  <si>
    <t>CSV163E1198</t>
  </si>
  <si>
    <t>{0F19C62D-45F9-490a-9FDE-14C1E63D4E21}</t>
  </si>
  <si>
    <t>The interface shall provide data on both planned and unplanned downtime events for in-field equipment related to generation and sensing (e.g., solar arrays, sensors). This data shall include the start and end timestamps, duration, cause of downtime (where applicable), and affected equipment identifiers. The interface shall update this information within 5 minutes of event detection or confirmation to support timely operational decision-making.</t>
  </si>
  <si>
    <t>CSV02F5AB5D</t>
  </si>
  <si>
    <t>{5DE2CB93-9F9C-474f-A70D-4B2F412252B4}</t>
  </si>
  <si>
    <t>CSVEB746DCF</t>
  </si>
  <si>
    <t>{693942C7-E5D4-467b-8A46-7DC38E401706}</t>
  </si>
  <si>
    <t>CSVF64862FA</t>
  </si>
  <si>
    <t>{5392A7D5-1E59-4c09-A55A-562F6923E98F}</t>
  </si>
  <si>
    <t>CSV644A69FE</t>
  </si>
  <si>
    <t>{DABCDFDF-E09D-4231-A724-E8C5FD2DEEDE}</t>
  </si>
  <si>
    <t>CSVD1790D8E</t>
  </si>
  <si>
    <t>{5B1FA5DD-BE70-4ce5-94CC-0F42B1CFDA90}</t>
  </si>
  <si>
    <t>CSV7FB77F40</t>
  </si>
  <si>
    <t>{AFED8E96-FA58-475a-9C93-902BE129D141}</t>
  </si>
  <si>
    <t>The interface shall retain historical work order and equipment downtime records for a minimum period of five (5) years. These records shall include detailed timestamps, event types, and unique asset identifiers. The data must be retrievable with a maximum query response time of five (5) seconds to support correlation with weather patterns, production data, and operational constraints for analysis and decision-making purposes.</t>
  </si>
  <si>
    <t>CSVD15F7F5C</t>
  </si>
  <si>
    <t>{7C8D98AF-0117-43d4-823A-A86FF10F80A5}</t>
  </si>
  <si>
    <t>CSV21830827</t>
  </si>
  <si>
    <t>{E0E9E119-F3FB-4853-A9D9-A669DF4072D3}</t>
  </si>
  <si>
    <t>CSV9D3EA852</t>
  </si>
  <si>
    <t>{D3BFC6CC-0AC7-4dba-B2C9-C4C321527D93}</t>
  </si>
  <si>
    <t>CSVE6BB547A</t>
  </si>
  <si>
    <t>{0E4ACE07-DAA2-406a-8441-E647E2211387}</t>
  </si>
  <si>
    <t>CSV242DBE36</t>
  </si>
  <si>
    <t>{8E18268E-6F83-45a2-AE6D-EAEF3A8F23B0}</t>
  </si>
  <si>
    <t>CSV3A113FE5</t>
  </si>
  <si>
    <t>{778AF044-43D9-4c37-BBF4-11FC93AA794C}</t>
  </si>
  <si>
    <t>CSV4133F2D9</t>
  </si>
  <si>
    <t>{977AA8BB-4557-4d33-86DD-7BF58A1D8C2B}</t>
  </si>
  <si>
    <t>CSVF9042AFB</t>
  </si>
  <si>
    <t>{B82D422E-0D98-4b74-8C8E-DC4878857071}</t>
  </si>
  <si>
    <t>CSVEF1149FB</t>
  </si>
  <si>
    <t>{7D92C050-77AA-4da8-8E68-BC1C92D0BB97}</t>
  </si>
  <si>
    <t>The interface shall update State-of-Charge (SoC) data at a refresh rate of 1 Hz (one update per second), with a maximum data latency of ?2 seconds, to support short-term operational decisions for charging, discharging, and curtailment.</t>
  </si>
  <si>
    <t>CSVEA3D25A5</t>
  </si>
  <si>
    <t>{2EECC4DE-FCED-41c3-AC55-BE2E10E696B4}</t>
  </si>
  <si>
    <t>CSVD30B5A2E</t>
  </si>
  <si>
    <t>{3B2ADD1A-D832-4b99-A8B7-488B3436AA3C}</t>
  </si>
  <si>
    <t>CSV3B8D9EE9</t>
  </si>
  <si>
    <t>{1C378FA0-F12F-4015-9445-1CBCAF7AE464}</t>
  </si>
  <si>
    <t>CSV3377F107</t>
  </si>
  <si>
    <t>{67FB47F2-F1F6-4a52-A864-8C906D7AD9C8}</t>
  </si>
  <si>
    <t>Proposed</t>
  </si>
  <si>
    <t>CSV999E2656</t>
  </si>
  <si>
    <t>{2A6C7BFE-3460-437f-9410-5F9F506405AD}</t>
  </si>
  <si>
    <t>CSVB09429E6</t>
  </si>
  <si>
    <t>GSP-RH-0001</t>
  </si>
  <si>
    <t>GSP-RH-0002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</si>
</sst>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_(* #,##0_);_(* \(#,##0\);_(* &quot;-&quot;_);_(@_)"/>
    <numFmt numFmtId="165" formatCode="_(* #,##0.00_);_(* \(#,##0.00\);_(* &quot;-&quot;??_);_(@_)"/>
    <numFmt numFmtId="166" formatCode="_(&quot;HK$&quot;* #,##0_);_(&quot;HK$&quot;* \(#,##0\);_(&quot;HK$&quot;* &quot;-&quot;_);_(@_)"/>
    <numFmt numFmtId="167" formatCode="_(&quot;HK$&quot;* #,##0.00_);_(&quot;HK$&quot;* \(#,##0.00\);_(&quot;HK$&quot;* &quot;-&quot;??_);_(@_)"/>
  </numFmts>
  <fonts count="18">
    <font>
      <sz val="10"/>
      <color theme="1"/>
      <name val="Arial"/>
      <family val="2"/>
    </font>
    <font>
      <sz val="11"/>
      <color theme="1"/>
      <name val="Calibri"/>
      <family val="2"/>
      <scheme val="minor"/>
    </font>
    <font>
      <i/>
      <sz val="10"/>
      <color rgb="FF000000"/>
      <name val="Arial"/>
      <family val="2"/>
    </font>
    <font>
      <sz val="10"/>
      <color rgb="FF000000"/>
      <name val="Arial"/>
      <family val="2"/>
    </font>
    <font>
      <b/>
      <sz val="12"/>
      <color rgb="FF000000"/>
      <name val="Arial"/>
      <family val="2"/>
    </font>
    <font>
      <b/>
      <sz val="14"/>
      <color rgb="FF000000"/>
      <name val="Arial"/>
      <family val="2"/>
    </font>
    <font>
      <sz val="10"/>
      <color theme="1"/>
      <name val="Arial,Helvetica,sans-serif"/>
      <family val="2"/>
    </font>
    <font>
      <b/>
      <sz val="16"/>
      <color rgb="FF000000"/>
      <name val="Arial"/>
      <family val="2"/>
    </font>
    <font>
      <b/>
      <sz val="14"/>
      <color rgb="FF000000"/>
      <name val="Arial,Helvetica,sans-serif"/>
      <family val="2"/>
    </font>
    <font>
      <sz val="10"/>
      <color theme="1"/>
      <name val="Arial"/>
      <family val="2"/>
    </font>
    <font>
      <sz val="10"/>
      <color theme="0"/>
      <name val="Arial"/>
      <family val="2"/>
    </font>
    <font>
      <b/>
      <sz val="10"/>
      <color rgb="FF000000"/>
      <name val="Tahoma"/>
      <family val="2"/>
    </font>
    <font>
      <sz val="10"/>
      <color rgb="FF000000"/>
      <name val="Tahoma"/>
      <family val="2"/>
    </font>
    <font>
      <sz val="10"/>
      <color rgb="FFFF0000"/>
      <name val="Arial"/>
      <family val="2"/>
    </font>
    <font>
      <sz val="8"/>
      <name val="Arial"/>
      <family val="2"/>
    </font>
    <font>
      <sz val="11"/>
      <color theme="1"/>
      <name val="Calibri"/>
      <family val="2"/>
      <scheme val="minor"/>
    </font>
    <font>
      <b/>
      <sz val="10"/>
      <color theme="1"/>
      <name val="Arial"/>
      <family val="2"/>
    </font>
    <font>
      <b/>
      <sz val="10"/>
      <color theme="0"/>
      <name val="Arial"/>
      <family val="2"/>
    </font>
  </fonts>
  <fills count="3">
    <fill>
      <patternFill patternType="none"/>
    </fill>
    <fill>
      <patternFill patternType="gray125"/>
    </fill>
    <fill>
      <patternFill patternType="solid">
        <fgColor theme="1"/>
        <bgColor indexed="64"/>
      </patternFill>
    </fill>
  </fills>
  <borders count="32">
    <border>
      <left/>
      <right/>
      <top/>
      <bottom/>
      <diagonal/>
    </border>
    <border>
      <left/>
      <right/>
      <top/>
      <bottom style="medium">
        <color rgb="FF12284B"/>
      </bottom>
      <diagonal/>
    </border>
    <border>
      <left/>
      <right style="thin">
        <color rgb="FF12284B"/>
      </right>
      <top style="medium">
        <color rgb="FF12284B"/>
      </top>
      <bottom style="medium">
        <color rgb="FF12284B"/>
      </bottom>
      <diagonal/>
    </border>
    <border>
      <left/>
      <right style="thin">
        <color rgb="FF12284B"/>
      </right>
      <top/>
      <bottom style="medium">
        <color rgb="FF12284B"/>
      </bottom>
      <diagonal/>
    </border>
    <border>
      <left/>
      <right/>
      <top style="medium">
        <color rgb="FF12284B"/>
      </top>
      <bottom style="thin">
        <color rgb="FF12284B"/>
      </bottom>
      <diagonal/>
    </border>
    <border>
      <left/>
      <right style="thin">
        <color rgb="FF12284B"/>
      </right>
      <top style="medium">
        <color rgb="FF12284B"/>
      </top>
      <bottom style="thin">
        <color rgb="FF12284B"/>
      </bottom>
      <diagonal/>
    </border>
    <border>
      <left/>
      <right/>
      <top style="thin">
        <color rgb="FF12284B"/>
      </top>
      <bottom style="thin">
        <color rgb="FF12284B"/>
      </bottom>
      <diagonal/>
    </border>
    <border>
      <left/>
      <right style="thin">
        <color rgb="FF12284B"/>
      </right>
      <top style="thin">
        <color rgb="FF12284B"/>
      </top>
      <bottom style="thin">
        <color rgb="FF12284B"/>
      </bottom>
      <diagonal/>
    </border>
    <border>
      <left style="thin">
        <color rgb="FF12284B"/>
      </left>
      <right/>
      <top style="medium">
        <color rgb="FF12284B"/>
      </top>
      <bottom style="thin">
        <color rgb="FF12284B"/>
      </bottom>
      <diagonal/>
    </border>
    <border>
      <left style="thin">
        <color rgb="FF12284B"/>
      </left>
      <right/>
      <top style="thin">
        <color rgb="FF12284B"/>
      </top>
      <bottom style="thin">
        <color rgb="FF12284B"/>
      </bottom>
      <diagonal/>
    </border>
    <border>
      <left/>
      <right/>
      <top style="thin">
        <color rgb="FF12284B"/>
      </top>
      <bottom style="medium">
        <color rgb="FF12284B"/>
      </bottom>
      <diagonal/>
    </border>
    <border>
      <left style="thin">
        <color rgb="FF12284B"/>
      </left>
      <right/>
      <top style="thin">
        <color rgb="FF12284B"/>
      </top>
      <bottom style="medium">
        <color rgb="FF12284B"/>
      </bottom>
      <diagonal/>
    </border>
    <border>
      <left/>
      <right style="thin">
        <color rgb="FF12284B"/>
      </right>
      <top style="thin">
        <color rgb="FF12284B"/>
      </top>
      <bottom style="medium">
        <color rgb="FF12284B"/>
      </bottom>
      <diagonal/>
    </border>
    <border>
      <left/>
      <right/>
      <top style="medium">
        <color rgb="FF12284B"/>
      </top>
      <bottom style="medium">
        <color rgb="FF12284B"/>
      </bottom>
      <diagonal/>
    </border>
    <border>
      <left/>
      <right style="medium">
        <color rgb="FF12284B"/>
      </right>
      <top style="medium">
        <color rgb="FF12284B"/>
      </top>
      <bottom style="medium">
        <color rgb="FF12284B"/>
      </bottom>
      <diagonal/>
    </border>
    <border>
      <left style="medium">
        <color rgb="FF12284B"/>
      </left>
      <right/>
      <top style="medium">
        <color rgb="FF12284B"/>
      </top>
      <bottom style="medium">
        <color rgb="FF12284B"/>
      </bottom>
      <diagonal/>
    </border>
    <border>
      <left/>
      <right style="thin">
        <color rgb="FF12284B"/>
      </right>
      <top/>
      <bottom style="thin">
        <color rgb="FF12284B"/>
      </bottom>
      <diagonal/>
    </border>
    <border>
      <left style="thin">
        <color rgb="FF12284B"/>
      </left>
      <right/>
      <top style="medium">
        <color rgb="FF12284B"/>
      </top>
      <bottom style="medium">
        <color rgb="FF12284B"/>
      </bottom>
      <diagonal/>
    </border>
    <border>
      <left/>
      <right/>
      <top style="thin">
        <color rgb="FF12284B"/>
      </top>
      <bottom/>
      <diagonal/>
    </border>
    <border>
      <left/>
      <right style="thin">
        <color rgb="FF000000"/>
      </right>
      <top style="thin">
        <color rgb="FF12284B"/>
      </top>
      <bottom style="thin">
        <color rgb="FF000000"/>
      </bottom>
      <diagonal/>
    </border>
    <border>
      <left style="thin">
        <color rgb="FF000000"/>
      </left>
      <right style="thin">
        <color rgb="FF000000"/>
      </right>
      <top style="thin">
        <color rgb="FF12284B"/>
      </top>
      <bottom style="thin">
        <color rgb="FF000000"/>
      </bottom>
      <diagonal/>
    </border>
    <border>
      <left style="thin">
        <color rgb="FF000000"/>
      </left>
      <right/>
      <top style="thin">
        <color rgb="FF12284B"/>
      </top>
      <bottom style="thin">
        <color rgb="FF000000"/>
      </bottom>
      <diagonal/>
    </border>
    <border>
      <left style="thin">
        <color rgb="FF12284B"/>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medium">
        <color rgb="FF000000"/>
      </bottom>
      <diagonal/>
    </border>
    <border>
      <left style="thin">
        <color rgb="FF12284B"/>
      </left>
      <right style="thin">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style="thin">
        <color rgb="FF000000"/>
      </left>
      <right/>
      <top style="thin">
        <color rgb="FF000000"/>
      </top>
      <bottom style="medium">
        <color rgb="FF000000"/>
      </bottom>
      <diagonal/>
    </border>
    <border>
      <left style="thin">
        <color rgb="FF12284B"/>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s>
  <cellStyleXfs count="8">
    <xf numFmtId="0" fontId="0" fillId="0" borderId="0"/>
    <xf numFmtId="9" fontId="9" fillId="0" borderId="0" applyFont="0" applyFill="0" applyBorder="0" applyAlignment="0" applyProtection="0"/>
    <xf numFmtId="167" fontId="9" fillId="0" borderId="0" applyFont="0" applyFill="0" applyBorder="0" applyAlignment="0" applyProtection="0"/>
    <xf numFmtId="166" fontId="9" fillId="0" borderId="0" applyFont="0" applyFill="0" applyBorder="0" applyAlignment="0" applyProtection="0"/>
    <xf numFmtId="165" fontId="9" fillId="0" borderId="0" applyFont="0" applyFill="0" applyBorder="0" applyAlignment="0" applyProtection="0"/>
    <xf numFmtId="164" fontId="9" fillId="0" borderId="0" applyFont="0" applyFill="0" applyBorder="0" applyAlignment="0" applyProtection="0"/>
    <xf numFmtId="0" fontId="15" fillId="0" borderId="0"/>
    <xf numFmtId="0" fontId="1" fillId="0" borderId="0"/>
  </cellStyleXfs>
  <cellXfs count="74">
    <xf numFmtId="0" fontId="0" fillId="0" borderId="0" xfId="0"/>
    <xf numFmtId="0" fontId="0" fillId="0" borderId="0" xfId="0" applyAlignment="1">
      <alignment horizontal="left" vertical="top"/>
    </xf>
    <xf numFmtId="0" fontId="0" fillId="0" borderId="0" xfId="0" applyAlignment="1">
      <alignment horizontal="left" vertical="top" wrapText="1"/>
    </xf>
    <xf numFmtId="0" fontId="10" fillId="2" borderId="0" xfId="0" applyFont="1" applyFill="1" applyAlignment="1">
      <alignment horizontal="left" vertical="top" wrapText="1"/>
    </xf>
    <xf numFmtId="0" fontId="10" fillId="2" borderId="0" xfId="0" applyFont="1" applyFill="1" applyAlignment="1">
      <alignment horizontal="left" vertical="top"/>
    </xf>
    <xf numFmtId="0" fontId="13" fillId="0" borderId="0" xfId="0" applyFont="1" applyAlignment="1">
      <alignment horizontal="left" vertical="top" wrapText="1"/>
    </xf>
    <xf numFmtId="0" fontId="3" fillId="0" borderId="0" xfId="0" applyFont="1" applyAlignment="1">
      <alignment horizontal="left" vertical="top"/>
    </xf>
    <xf numFmtId="0" fontId="7" fillId="0" borderId="0" xfId="0" applyFont="1" applyAlignment="1">
      <alignment horizontal="left" vertical="top" wrapText="1"/>
    </xf>
    <xf numFmtId="0" fontId="5" fillId="0" borderId="0" xfId="0" applyFont="1" applyAlignment="1">
      <alignment horizontal="left" vertical="top" wrapText="1"/>
    </xf>
    <xf numFmtId="0" fontId="4" fillId="0" borderId="0" xfId="0" applyFont="1" applyAlignment="1">
      <alignment horizontal="left" vertical="top" wrapText="1"/>
    </xf>
    <xf numFmtId="0" fontId="8" fillId="0" borderId="0" xfId="0" applyFont="1" applyAlignment="1">
      <alignment horizontal="left" vertical="top" wrapText="1"/>
    </xf>
    <xf numFmtId="0" fontId="6" fillId="0" borderId="0" xfId="0" applyFont="1" applyAlignment="1">
      <alignment horizontal="left" vertical="top" wrapText="1"/>
    </xf>
    <xf numFmtId="0" fontId="16" fillId="0" borderId="0" xfId="0" applyFont="1" applyAlignment="1">
      <alignment horizontal="left" vertical="top" wrapText="1"/>
    </xf>
    <xf numFmtId="0" fontId="0" fillId="0" borderId="0" xfId="0" quotePrefix="1" applyAlignment="1">
      <alignment horizontal="left" vertical="top" wrapText="1"/>
    </xf>
    <xf numFmtId="0" fontId="16" fillId="0" borderId="5" xfId="0" applyFont="1" applyBorder="1"/>
    <xf numFmtId="0" fontId="16" fillId="0" borderId="0" xfId="0" applyFont="1"/>
    <xf numFmtId="0" fontId="0" fillId="0" borderId="0" xfId="0" applyAlignment="1">
      <alignment wrapText="1"/>
    </xf>
    <xf numFmtId="0" fontId="16" fillId="0" borderId="2" xfId="0" applyFont="1" applyBorder="1" applyAlignment="1">
      <alignment horizontal="left" vertical="top"/>
    </xf>
    <xf numFmtId="0" fontId="0" fillId="0" borderId="16" xfId="0" applyBorder="1" applyAlignment="1">
      <alignment horizontal="left" vertical="top"/>
    </xf>
    <xf numFmtId="0" fontId="0" fillId="0" borderId="7" xfId="0" applyBorder="1" applyAlignment="1">
      <alignment horizontal="left" vertical="top"/>
    </xf>
    <xf numFmtId="0" fontId="0" fillId="0" borderId="3" xfId="0" applyBorder="1" applyAlignment="1">
      <alignment horizontal="left" vertical="top"/>
    </xf>
    <xf numFmtId="0" fontId="16" fillId="0" borderId="7" xfId="0" applyFont="1" applyBorder="1" applyAlignment="1">
      <alignment horizontal="left" vertical="top" wrapText="1"/>
    </xf>
    <xf numFmtId="14" fontId="16" fillId="0" borderId="6" xfId="0" applyNumberFormat="1" applyFont="1" applyBorder="1" applyAlignment="1">
      <alignment horizontal="left" vertical="top" wrapText="1"/>
    </xf>
    <xf numFmtId="14" fontId="16" fillId="0" borderId="20" xfId="0" applyNumberFormat="1" applyFont="1" applyBorder="1" applyAlignment="1">
      <alignment horizontal="left" vertical="top" wrapText="1"/>
    </xf>
    <xf numFmtId="0" fontId="16" fillId="0" borderId="23" xfId="0" applyFont="1" applyBorder="1" applyAlignment="1">
      <alignment horizontal="left" vertical="top" wrapText="1"/>
    </xf>
    <xf numFmtId="14" fontId="0" fillId="0" borderId="25" xfId="0" applyNumberFormat="1" applyBorder="1" applyAlignment="1">
      <alignment horizontal="left" vertical="top" wrapText="1"/>
    </xf>
    <xf numFmtId="0" fontId="16" fillId="0" borderId="27" xfId="0" applyFont="1" applyBorder="1" applyAlignment="1">
      <alignment horizontal="left" vertical="top" wrapText="1"/>
    </xf>
    <xf numFmtId="14" fontId="0" fillId="0" borderId="18" xfId="0" applyNumberFormat="1" applyBorder="1" applyAlignment="1">
      <alignment horizontal="left" vertical="top" wrapText="1"/>
    </xf>
    <xf numFmtId="0" fontId="16" fillId="0" borderId="30" xfId="0" applyFont="1" applyBorder="1" applyAlignment="1">
      <alignment horizontal="left" vertical="top" wrapText="1"/>
    </xf>
    <xf numFmtId="0" fontId="0" fillId="0" borderId="13" xfId="0" applyBorder="1" applyAlignment="1">
      <alignment horizontal="left" vertical="top" wrapText="1"/>
    </xf>
    <xf numFmtId="0" fontId="0" fillId="0" borderId="15" xfId="0" applyBorder="1" applyAlignment="1">
      <alignment horizontal="left" vertical="top" wrapText="1"/>
    </xf>
    <xf numFmtId="0" fontId="0" fillId="0" borderId="14" xfId="0" applyBorder="1" applyAlignment="1">
      <alignment horizontal="left" vertical="top" wrapText="1"/>
    </xf>
    <xf numFmtId="0" fontId="16" fillId="0" borderId="1" xfId="0" applyFont="1" applyBorder="1" applyAlignment="1">
      <alignment horizontal="left"/>
    </xf>
    <xf numFmtId="0" fontId="16" fillId="0" borderId="13" xfId="0" applyFont="1" applyBorder="1" applyAlignment="1">
      <alignment horizontal="center" vertical="top" wrapText="1"/>
    </xf>
    <xf numFmtId="0" fontId="16" fillId="0" borderId="14" xfId="0" applyFont="1" applyBorder="1" applyAlignment="1">
      <alignment horizontal="center" vertical="top" wrapText="1"/>
    </xf>
    <xf numFmtId="0" fontId="0" fillId="0" borderId="23" xfId="0" applyBorder="1" applyAlignment="1">
      <alignment horizontal="left" vertical="top" wrapText="1"/>
    </xf>
    <xf numFmtId="14" fontId="0" fillId="0" borderId="20" xfId="0" applyNumberFormat="1" applyBorder="1" applyAlignment="1">
      <alignment horizontal="left" vertical="top" wrapText="1"/>
    </xf>
    <xf numFmtId="14" fontId="0" fillId="0" borderId="21" xfId="0" applyNumberFormat="1" applyBorder="1" applyAlignment="1">
      <alignment horizontal="left" vertical="top" wrapText="1"/>
    </xf>
    <xf numFmtId="0" fontId="0" fillId="0" borderId="24" xfId="0" applyBorder="1" applyAlignment="1">
      <alignment horizontal="left" vertical="top" wrapText="1"/>
    </xf>
    <xf numFmtId="0" fontId="0" fillId="0" borderId="13" xfId="0" applyBorder="1" applyAlignment="1">
      <alignment horizontal="left" vertical="top"/>
    </xf>
    <xf numFmtId="0" fontId="0" fillId="0" borderId="22" xfId="0" applyBorder="1" applyAlignment="1">
      <alignment horizontal="left" vertical="top" wrapText="1"/>
    </xf>
    <xf numFmtId="0" fontId="0" fillId="0" borderId="29" xfId="0" applyBorder="1" applyAlignment="1">
      <alignment horizontal="left" vertical="top" wrapText="1"/>
    </xf>
    <xf numFmtId="0" fontId="0" fillId="0" borderId="30" xfId="0" applyBorder="1" applyAlignment="1">
      <alignment horizontal="left" vertical="top" wrapText="1"/>
    </xf>
    <xf numFmtId="0" fontId="0" fillId="0" borderId="31" xfId="0" applyBorder="1" applyAlignment="1">
      <alignment horizontal="left" vertical="top" wrapText="1"/>
    </xf>
    <xf numFmtId="0" fontId="0" fillId="0" borderId="26" xfId="0" applyBorder="1" applyAlignment="1">
      <alignment horizontal="left" vertical="top" wrapText="1"/>
    </xf>
    <xf numFmtId="0" fontId="0" fillId="0" borderId="27" xfId="0" applyBorder="1" applyAlignment="1">
      <alignment horizontal="left" vertical="top" wrapText="1"/>
    </xf>
    <xf numFmtId="0" fontId="0" fillId="0" borderId="28" xfId="0" applyBorder="1" applyAlignment="1">
      <alignment horizontal="left" vertical="top" wrapText="1"/>
    </xf>
    <xf numFmtId="0" fontId="16" fillId="0" borderId="0" xfId="0" applyFont="1" applyAlignment="1">
      <alignment horizontal="left"/>
    </xf>
    <xf numFmtId="0" fontId="0" fillId="0" borderId="1" xfId="0" applyBorder="1" applyAlignment="1">
      <alignment horizontal="left"/>
    </xf>
    <xf numFmtId="0" fontId="16" fillId="0" borderId="8" xfId="0" applyFont="1" applyBorder="1" applyAlignment="1">
      <alignment horizontal="left"/>
    </xf>
    <xf numFmtId="0" fontId="16" fillId="0" borderId="4" xfId="0" applyFont="1" applyBorder="1" applyAlignment="1">
      <alignment horizontal="left"/>
    </xf>
    <xf numFmtId="14" fontId="0" fillId="0" borderId="19" xfId="0" applyNumberFormat="1" applyBorder="1" applyAlignment="1">
      <alignment horizontal="left" vertical="top" wrapText="1"/>
    </xf>
    <xf numFmtId="0" fontId="0" fillId="0" borderId="9" xfId="0" applyBorder="1" applyAlignment="1">
      <alignment horizontal="left" vertical="top"/>
    </xf>
    <xf numFmtId="0" fontId="0" fillId="0" borderId="7" xfId="0" applyBorder="1" applyAlignment="1">
      <alignment horizontal="left" vertical="top"/>
    </xf>
    <xf numFmtId="0" fontId="0" fillId="0" borderId="11" xfId="0" applyBorder="1" applyAlignment="1">
      <alignment horizontal="left" vertical="top"/>
    </xf>
    <xf numFmtId="0" fontId="0" fillId="0" borderId="12" xfId="0" applyBorder="1" applyAlignment="1">
      <alignment horizontal="left" vertical="top"/>
    </xf>
    <xf numFmtId="0" fontId="0" fillId="0" borderId="10" xfId="0" applyBorder="1" applyAlignment="1">
      <alignment horizontal="left" vertical="top"/>
    </xf>
    <xf numFmtId="0" fontId="0" fillId="0" borderId="6" xfId="0" applyBorder="1" applyAlignment="1">
      <alignment horizontal="left" vertical="top"/>
    </xf>
    <xf numFmtId="0" fontId="0" fillId="0" borderId="8" xfId="0" applyBorder="1" applyAlignment="1">
      <alignment horizontal="left" vertical="top"/>
    </xf>
    <xf numFmtId="0" fontId="0" fillId="0" borderId="5" xfId="0" applyBorder="1" applyAlignment="1">
      <alignment horizontal="left" vertical="top"/>
    </xf>
    <xf numFmtId="0" fontId="16" fillId="0" borderId="17" xfId="0" applyFont="1" applyBorder="1" applyAlignment="1">
      <alignment horizontal="left" vertical="top"/>
    </xf>
    <xf numFmtId="0" fontId="16" fillId="0" borderId="2" xfId="0" applyFont="1" applyBorder="1" applyAlignment="1">
      <alignment horizontal="left" vertical="top"/>
    </xf>
    <xf numFmtId="0" fontId="16" fillId="0" borderId="13" xfId="0" applyFont="1" applyBorder="1" applyAlignment="1">
      <alignment horizontal="left" vertical="top"/>
    </xf>
    <xf numFmtId="14" fontId="0" fillId="0" borderId="8" xfId="0" applyNumberFormat="1" applyBorder="1" applyAlignment="1">
      <alignment horizontal="left" vertical="top"/>
    </xf>
    <xf numFmtId="0" fontId="0" fillId="0" borderId="8" xfId="0" applyBorder="1" applyAlignment="1">
      <alignment horizontal="left" vertical="top" wrapText="1"/>
    </xf>
    <xf numFmtId="0" fontId="0" fillId="0" borderId="4" xfId="0" applyBorder="1" applyAlignment="1">
      <alignment horizontal="left" vertical="top"/>
    </xf>
    <xf numFmtId="0" fontId="0" fillId="0" borderId="9" xfId="0" applyBorder="1" applyAlignment="1">
      <alignment horizontal="left" vertical="top" wrapText="1"/>
    </xf>
    <xf numFmtId="0" fontId="0" fillId="0" borderId="6" xfId="0" applyBorder="1" applyAlignment="1">
      <alignment horizontal="left" vertical="top" wrapText="1"/>
    </xf>
    <xf numFmtId="0" fontId="1" fillId="0" borderId="0" xfId="7"/>
    <xf numFmtId="22" fontId="1" fillId="0" borderId="0" xfId="7" applyNumberFormat="1"/>
    <xf numFmtId="0" fontId="1" fillId="0" borderId="0" xfId="7" applyAlignment="1">
      <alignment wrapText="1"/>
    </xf>
    <xf numFmtId="0" fontId="0" fillId="0" borderId="0" xfId="0" applyFont="1" applyAlignment="1">
      <alignment horizontal="left" vertical="top" wrapText="1"/>
    </xf>
    <xf numFmtId="0" fontId="17" fillId="2" borderId="0" xfId="0" applyFont="1" applyFill="1" applyAlignment="1">
      <alignment horizontal="left" vertical="top" wrapText="1"/>
    </xf>
    <xf numFmtId="0" fontId="17" fillId="2" borderId="0" xfId="0" applyFont="1" applyFill="1" applyAlignment="1">
      <alignment horizontal="left" vertical="top"/>
    </xf>
  </cellXfs>
  <cellStyles count="8">
    <cellStyle name="Comma" xfId="4" xr:uid="{00000000-0005-0000-0000-000004000000}"/>
    <cellStyle name="Comma [0]" xfId="5" xr:uid="{00000000-0005-0000-0000-000005000000}"/>
    <cellStyle name="Currency" xfId="2" xr:uid="{00000000-0005-0000-0000-000002000000}"/>
    <cellStyle name="Currency [0]" xfId="3" xr:uid="{00000000-0005-0000-0000-000003000000}"/>
    <cellStyle name="Normal" xfId="0" builtinId="0"/>
    <cellStyle name="Normal 2" xfId="6" xr:uid="{690A3670-25B6-BA42-BAD4-F66FF6643EA1}"/>
    <cellStyle name="Normal 3" xfId="7" xr:uid="{478D1D13-A983-4E04-B1D0-7EF25EEB0007}"/>
    <cellStyle name="Percent" xfId="1" xr:uid="{00000000-0005-0000-0000-000001000000}"/>
  </cellStyles>
  <dxfs count="1">
    <dxf>
      <font>
        <b/>
        <i val="0"/>
      </font>
    </dxf>
  </dxfs>
  <tableStyles count="0" defaultTableStyle="TableStyleMedium2" defaultPivotStyle="PivotStyleLight16"/>
  <colors>
    <mruColors>
      <color rgb="FF12284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1.xml"/><Relationship Id="rId13" Type="http://schemas.openxmlformats.org/officeDocument/2006/relationships/externalLink" Target="externalLinks/externalLink6.xml"/><Relationship Id="rId18" Type="http://schemas.openxmlformats.org/officeDocument/2006/relationships/externalLink" Target="externalLinks/externalLink11.xml"/><Relationship Id="rId26"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externalLink" Target="externalLinks/externalLink14.xml"/><Relationship Id="rId7" Type="http://schemas.openxmlformats.org/officeDocument/2006/relationships/worksheet" Target="worksheets/sheet7.xml"/><Relationship Id="rId12" Type="http://schemas.openxmlformats.org/officeDocument/2006/relationships/externalLink" Target="externalLinks/externalLink5.xml"/><Relationship Id="rId17" Type="http://schemas.openxmlformats.org/officeDocument/2006/relationships/externalLink" Target="externalLinks/externalLink10.xml"/><Relationship Id="rId25" Type="http://schemas.openxmlformats.org/officeDocument/2006/relationships/sheetMetadata" Target="metadata.xml"/><Relationship Id="rId2" Type="http://schemas.openxmlformats.org/officeDocument/2006/relationships/worksheet" Target="worksheets/sheet2.xml"/><Relationship Id="rId16" Type="http://schemas.openxmlformats.org/officeDocument/2006/relationships/externalLink" Target="externalLinks/externalLink9.xml"/><Relationship Id="rId20" Type="http://schemas.openxmlformats.org/officeDocument/2006/relationships/externalLink" Target="externalLinks/externalLink13.xml"/><Relationship Id="rId29"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4.xml"/><Relationship Id="rId24"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externalLink" Target="externalLinks/externalLink8.xml"/><Relationship Id="rId23" Type="http://schemas.openxmlformats.org/officeDocument/2006/relationships/styles" Target="styles.xml"/><Relationship Id="rId28" Type="http://schemas.openxmlformats.org/officeDocument/2006/relationships/customXml" Target="../customXml/item2.xml"/><Relationship Id="rId10" Type="http://schemas.openxmlformats.org/officeDocument/2006/relationships/externalLink" Target="externalLinks/externalLink3.xml"/><Relationship Id="rId19" Type="http://schemas.openxmlformats.org/officeDocument/2006/relationships/externalLink" Target="externalLinks/externalLink12.xml"/><Relationship Id="rId4" Type="http://schemas.openxmlformats.org/officeDocument/2006/relationships/worksheet" Target="worksheets/sheet4.xml"/><Relationship Id="rId9" Type="http://schemas.openxmlformats.org/officeDocument/2006/relationships/externalLink" Target="externalLinks/externalLink2.xml"/><Relationship Id="rId14" Type="http://schemas.openxmlformats.org/officeDocument/2006/relationships/externalLink" Target="externalLinks/externalLink7.xml"/><Relationship Id="rId22" Type="http://schemas.openxmlformats.org/officeDocument/2006/relationships/theme" Target="theme/theme1.xml"/><Relationship Id="rId27"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5475</xdr:colOff>
      <xdr:row>1</xdr:row>
      <xdr:rowOff>0</xdr:rowOff>
    </xdr:from>
    <xdr:to>
      <xdr:col>9</xdr:col>
      <xdr:colOff>710325</xdr:colOff>
      <xdr:row>10</xdr:row>
      <xdr:rowOff>511</xdr:rowOff>
    </xdr:to>
    <xdr:pic>
      <xdr:nvPicPr>
        <xdr:cNvPr id="8" name="Picture 7">
          <a:extLst>
            <a:ext uri="{FF2B5EF4-FFF2-40B4-BE49-F238E27FC236}">
              <a16:creationId xmlns:a16="http://schemas.microsoft.com/office/drawing/2014/main" id="{562C9CA8-D6BC-914B-AB59-743EB063029E}"/>
            </a:ext>
          </a:extLst>
        </xdr:cNvPr>
        <xdr:cNvPicPr>
          <a:picLocks noChangeAspect="1"/>
        </xdr:cNvPicPr>
      </xdr:nvPicPr>
      <xdr:blipFill>
        <a:blip xmlns:r="http://schemas.openxmlformats.org/officeDocument/2006/relationships" r:embed="rId1"/>
        <a:stretch>
          <a:fillRect/>
        </a:stretch>
      </xdr:blipFill>
      <xdr:spPr>
        <a:xfrm>
          <a:off x="361294" y="229914"/>
          <a:ext cx="7439353" cy="1401890"/>
        </a:xfrm>
        <a:prstGeom prst="rect">
          <a:avLst/>
        </a:prstGeom>
      </xdr:spPr>
    </xdr:pic>
    <xdr:clientData/>
  </xdr:twoCellAnchor>
  <xdr:twoCellAnchor>
    <xdr:from>
      <xdr:col>1</xdr:col>
      <xdr:colOff>28575</xdr:colOff>
      <xdr:row>5</xdr:row>
      <xdr:rowOff>47625</xdr:rowOff>
    </xdr:from>
    <xdr:to>
      <xdr:col>6</xdr:col>
      <xdr:colOff>371475</xdr:colOff>
      <xdr:row>10</xdr:row>
      <xdr:rowOff>0</xdr:rowOff>
    </xdr:to>
    <xdr:sp macro="" textlink="">
      <xdr:nvSpPr>
        <xdr:cNvPr id="9" name="Text Box 2">
          <a:extLst>
            <a:ext uri="{FF2B5EF4-FFF2-40B4-BE49-F238E27FC236}">
              <a16:creationId xmlns:a16="http://schemas.microsoft.com/office/drawing/2014/main" id="{FA7C5981-FF5D-1805-DF77-E44630E45000}"/>
            </a:ext>
            <a:ext uri="{147F2762-F138-4A5C-976F-8EAC2B608ADB}">
              <a16:predDERef xmlns:a16="http://schemas.microsoft.com/office/drawing/2014/main" pred="{562C9CA8-D6BC-914B-AB59-743EB063029E}"/>
            </a:ext>
          </a:extLst>
        </xdr:cNvPr>
        <xdr:cNvSpPr txBox="1">
          <a:spLocks noChangeArrowheads="1"/>
        </xdr:cNvSpPr>
      </xdr:nvSpPr>
      <xdr:spPr bwMode="auto">
        <a:xfrm>
          <a:off x="161925" y="923925"/>
          <a:ext cx="4152900" cy="685800"/>
        </a:xfrm>
        <a:prstGeom prst="rect">
          <a:avLst/>
        </a:prstGeom>
        <a:noFill/>
        <a:ln w="9525">
          <a:noFill/>
          <a:miter lim="800000"/>
          <a:headEnd/>
          <a:tailEnd/>
        </a:ln>
      </xdr:spPr>
      <xdr:txBody>
        <a:bodyPr rot="0" vert="horz" wrap="square" lIns="91440" tIns="45720" rIns="91440" bIns="45720" anchor="ctr" anchorCtr="0">
          <a:noAutofit/>
        </a:bodyPr>
        <a:lstStyle/>
        <a:p>
          <a:pPr marL="0" indent="0">
            <a:spcAft>
              <a:spcPts val="800"/>
            </a:spcAft>
          </a:pPr>
          <a:r>
            <a:rPr lang="en-US" sz="2200" b="1">
              <a:solidFill>
                <a:srgbClr val="FFFFFF"/>
              </a:solidFill>
              <a:latin typeface="Arial" panose="020B0604020202020204" pitchFamily="34" charset="0"/>
              <a:cs typeface="Arial" panose="020B0604020202020204" pitchFamily="34" charset="0"/>
            </a:rPr>
            <a:t>Requirements Verification and Acceptance Matrix (RVAM)</a:t>
          </a:r>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5475</xdr:colOff>
      <xdr:row>1</xdr:row>
      <xdr:rowOff>0</xdr:rowOff>
    </xdr:from>
    <xdr:to>
      <xdr:col>10</xdr:col>
      <xdr:colOff>5475</xdr:colOff>
      <xdr:row>10</xdr:row>
      <xdr:rowOff>511</xdr:rowOff>
    </xdr:to>
    <xdr:pic>
      <xdr:nvPicPr>
        <xdr:cNvPr id="2" name="Picture 1">
          <a:extLst>
            <a:ext uri="{FF2B5EF4-FFF2-40B4-BE49-F238E27FC236}">
              <a16:creationId xmlns:a16="http://schemas.microsoft.com/office/drawing/2014/main" id="{53FD6492-5A6F-484A-A22D-9FDBCE24563B}"/>
            </a:ext>
          </a:extLst>
        </xdr:cNvPr>
        <xdr:cNvPicPr>
          <a:picLocks noChangeAspect="1"/>
        </xdr:cNvPicPr>
      </xdr:nvPicPr>
      <xdr:blipFill>
        <a:blip xmlns:r="http://schemas.openxmlformats.org/officeDocument/2006/relationships" r:embed="rId1"/>
        <a:stretch>
          <a:fillRect/>
        </a:stretch>
      </xdr:blipFill>
      <xdr:spPr>
        <a:xfrm>
          <a:off x="157875" y="228600"/>
          <a:ext cx="7429500" cy="1410211"/>
        </a:xfrm>
        <a:prstGeom prst="rect">
          <a:avLst/>
        </a:prstGeom>
      </xdr:spPr>
    </xdr:pic>
    <xdr:clientData/>
  </xdr:twoCellAnchor>
  <xdr:twoCellAnchor>
    <xdr:from>
      <xdr:col>1</xdr:col>
      <xdr:colOff>32846</xdr:colOff>
      <xdr:row>6</xdr:row>
      <xdr:rowOff>142328</xdr:rowOff>
    </xdr:from>
    <xdr:to>
      <xdr:col>6</xdr:col>
      <xdr:colOff>368300</xdr:colOff>
      <xdr:row>10</xdr:row>
      <xdr:rowOff>4664</xdr:rowOff>
    </xdr:to>
    <xdr:sp macro="" textlink="">
      <xdr:nvSpPr>
        <xdr:cNvPr id="3" name="Text Box 2">
          <a:extLst>
            <a:ext uri="{FF2B5EF4-FFF2-40B4-BE49-F238E27FC236}">
              <a16:creationId xmlns:a16="http://schemas.microsoft.com/office/drawing/2014/main" id="{B1E6BD35-9A0A-A54F-8078-025417BA7D35}"/>
            </a:ext>
          </a:extLst>
        </xdr:cNvPr>
        <xdr:cNvSpPr txBox="1">
          <a:spLocks noChangeArrowheads="1"/>
        </xdr:cNvSpPr>
      </xdr:nvSpPr>
      <xdr:spPr bwMode="auto">
        <a:xfrm>
          <a:off x="185246" y="1196428"/>
          <a:ext cx="4462954" cy="446536"/>
        </a:xfrm>
        <a:prstGeom prst="rect">
          <a:avLst/>
        </a:prstGeom>
        <a:noFill/>
        <a:ln w="9525">
          <a:noFill/>
          <a:miter lim="800000"/>
          <a:headEnd/>
          <a:tailEnd/>
        </a:ln>
      </xdr:spPr>
      <xdr:txBody>
        <a:bodyPr rot="0" vert="horz" wrap="square" lIns="91440" tIns="45720" rIns="91440" bIns="45720" anchor="ctr" anchorCtr="0">
          <a:noAutofit/>
        </a:bodyPr>
        <a:lstStyle/>
        <a:p>
          <a:pPr>
            <a:spcAft>
              <a:spcPts val="800"/>
            </a:spcAft>
            <a:buNone/>
          </a:pPr>
          <a:r>
            <a:rPr lang="en-US" sz="2200" b="1">
              <a:solidFill>
                <a:srgbClr val="FFFFFF"/>
              </a:solidFill>
              <a:effectLst/>
              <a:latin typeface="Arial" panose="020B0604020202020204" pitchFamily="34" charset="0"/>
              <a:ea typeface="Arial" panose="020B0604020202020204" pitchFamily="34" charset="0"/>
              <a:cs typeface="Arial" panose="020B0604020202020204" pitchFamily="34" charset="0"/>
            </a:rPr>
            <a:t>Revision History</a:t>
          </a:r>
          <a:endParaRPr lang="en-HK" sz="1100">
            <a:effectLst/>
            <a:latin typeface="Arial" panose="020B0604020202020204" pitchFamily="34" charset="0"/>
            <a:ea typeface="Arial" panose="020B0604020202020204" pitchFamily="34" charset="0"/>
            <a:cs typeface="Times New Roman" panose="02020603050405020304" pitchFamily="18" charset="0"/>
          </a:endParaRPr>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mcdermottinc-my.sharepoint.com/Documents%20and%20Settings/eaulabaugh/My%20Documents/ESA/FINAL%20B6%20Cost%20Summary%205-12-10.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https://hatchengineering-my.sharepoint.com/usv-fr/knesa/Desktop/NS2/20Mtpa/COst/Estimates/662SY0002-2000-ET-CC-0001_B%20-%20CAPEX%20-%20OPF20%20v39%20(270219).xlsx" TargetMode="External"/></Relationships>
</file>

<file path=xl/externalLinks/_rels/externalLink3.xml.rels><?xml version="1.0" encoding="UTF-8" standalone="yes"?>
<Relationships xmlns="http://schemas.openxmlformats.org/package/2006/relationships"><Relationship Id="rId2" Type="http://schemas.openxmlformats.org/officeDocument/2006/relationships/externalLinkPath" Target="https://fmgl.sharepoint.com/sites/DecarbandGreenProductDelivery/Decarb%20Strategic%20Innovation/00_Management%20Functions%20(R)/02_Cost%20Control/Budget%20Development%20-%20Green%20Systems/Budget%20Tracker_GreenSystems_A.xlsx" TargetMode="External"/><Relationship Id="rId1" Type="http://schemas.openxmlformats.org/officeDocument/2006/relationships/externalLinkPath" Target="https://fmgl.sharepoint.com/sites/DecarbandGreenProductDelivery/Decarb%20Strategic%20Innovation/00_Management%20Functions%20(R)/02_Cost%20Control/Budget%20Development%20-%20Green%20Systems/Budget%20Tracker_GreenSystems_A.xlsx" TargetMode="External"/></Relationships>
</file>

<file path=xl/externalLinks/_rels/externalLink4.xml.rels><?xml version="1.0" encoding="UTF-8" standalone="yes"?>
<Relationships xmlns="http://schemas.openxmlformats.org/package/2006/relationships"><Relationship Id="rId2" Type="http://schemas.openxmlformats.org/officeDocument/2006/relationships/externalLinkPath" Target="https://fmgl-my.sharepoint.com/personal/nellis_jonck_fortescue_com/Documents/Rail%20Study/Feasibility%20-%20Minimum%20Infrastructure/Minimum%20Infrastructure%20Estimate/TCO%20&amp;%20Option%20Metrics.xlsx" TargetMode="External"/><Relationship Id="rId1" Type="http://schemas.openxmlformats.org/officeDocument/2006/relationships/externalLinkPath" Target="https://fmgl.sharepoint.com/sites/EngineeringStudies/Studies/300DC0001%20-%20Decarb%20Rail%20Charging%20Infrastructure/02_Cost%20and%20Schedule/02%20WBS%20-%20Current/TCO%20&amp;%20Option%20Metrics.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https://fmgl.sharepoint.com/Users/smoore/APPDATA/LOCAL/TEMP/DOCMGR/218961%20VMH%20POR%20REVO%20WITH%20COMPARISON.XLSM"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https://mcdermottinc-my.sharepoint.com/personal/smoore_mcdermott_com/Documents/APA%20EST/CBISTS/251780%20IPL%20Gibson%20Is%20(BRIS)/OBE/242066%20DNM%20Gladstone%20OBE%20EST%20Support%20Rev_Ai.xlsm" TargetMode="External"/></Relationships>
</file>

<file path=xl/externalLinks/_rels/externalLink7.xml.rels><?xml version="1.0" encoding="UTF-8" standalone="yes"?>
<Relationships xmlns="http://schemas.openxmlformats.org/package/2006/relationships"><Relationship Id="rId2" Type="http://schemas.openxmlformats.org/officeDocument/2006/relationships/externalLinkPath" Target="https://fmgl.sharepoint.com/sites/EngineeringStudies/Studies/300DC0001%20-%20Decarb%20Rail%20Charging%20Infrastructure/99_Working%20Folder/Ammonia%20Estimate/Ammonia%20Storage%20Facility%20Estimate.xlsx" TargetMode="External"/><Relationship Id="rId1" Type="http://schemas.openxmlformats.org/officeDocument/2006/relationships/externalLinkPath" Target="https://fmgl.sharepoint.com/sites/EngineeringStudies/Studies/300DC0001%20-%20Decarb%20Rail%20Charging%20Infrastructure/99_Working%20Folder/Ammonia%20Estimate/Ammonia%20Storage%20Facility%20Estimate.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https://fmgl.sharepoint.com/Users/smoore/Desktop/242066%20DNM%20NH3%20ORDER%20REPORT_%20RAI_.XLSM"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https://fmgl.sharepoint.com/sites/DecarbandGreenProductDelivery/Decarb%20Strategic%20Innovation/04_DECARB%20SYSTEMS%20READINESS%20&amp;%20DELIVERY/01_Integrated%20Delivery/01.05_System%20Engineering%20&amp;%20Architecture/04_Requirements/Factors" TargetMode="External"/></Relationships>
</file>

<file path=xl/externalLinks/_rels/externalLink10.xml.rels><?xml version="1.0" encoding="UTF-8" standalone="yes"?>
<Relationships xmlns="http://schemas.openxmlformats.org/package/2006/relationships"><Relationship Id="rId2" Type="http://schemas.openxmlformats.org/officeDocument/2006/relationships/externalLinkPath" Target="../../../jhbdata/hasys/Share-Folder/Antamina%20Project/CC-010%20Sandwell/Planning%20&amp;%20Schedule/GRAL/rppsccuv.xls" TargetMode="External"/><Relationship Id="rId1" Type="http://schemas.openxmlformats.org/officeDocument/2006/relationships/externalLinkPath" Target="/jhbdata/hasys/Share-Folder/Antamina%20Project/CC-010%20Sandwell/Planning%20&amp;%20Schedule/GRAL/rppsccuv.xls" TargetMode="External"/></Relationships>
</file>

<file path=xl/externalLinks/_rels/externalLink11.xml.rels><?xml version="1.0" encoding="UTF-8" standalone="yes"?>
<Relationships xmlns="http://schemas.openxmlformats.org/package/2006/relationships"><Relationship Id="rId2" Type="http://schemas.openxmlformats.org/officeDocument/2006/relationships/externalLinkPath" Target="../../../#FOCUS Projects/2004 Projects/Chapel Valley Mezzanine- Construction Phase/Revised Permit Project/Contracts/CV - BUILDING Subcontracts.xls" TargetMode="External"/><Relationship Id="rId1" Type="http://schemas.openxmlformats.org/officeDocument/2006/relationships/externalLinkPath" Target="/#FOCUS Projects/2004 Projects/Chapel Valley Mezzanine- Construction Phase/Revised Permit Project/Contracts/CV - BUILDING Subcontracts.xls" TargetMode="External"/></Relationships>
</file>

<file path=xl/externalLinks/_rels/externalLink12.xml.rels><?xml version="1.0" encoding="UTF-8" standalone="yes"?>
<Relationships xmlns="http://schemas.openxmlformats.org/package/2006/relationships"><Relationship Id="rId2" Type="http://schemas.openxmlformats.org/officeDocument/2006/relationships/externalLinkPath" Target="https://fmgl.sharepoint.com/sites/DecarbandGreenProductDelivery/Decarb%20Strategic%20Innovation/00_Project%20Management/04.%20Registers,%20Standards%20&amp;%20Templates/WBS%20Template/WBS_Decarb%20Master_C.xlsx" TargetMode="External"/><Relationship Id="rId1" Type="http://schemas.openxmlformats.org/officeDocument/2006/relationships/externalLinkPath" Target="https://fmgl.sharepoint.com/sites/DecarbandGreenProductDelivery/Decarb%20Strategic%20Innovation/00_Project%20Management/04.%20Registers,%20Standards%20&amp;%20Templates/WBS%20Template/WBS_Decarb%20Master_C.xlsx" TargetMode="External"/></Relationships>
</file>

<file path=xl/externalLinks/_rels/externalLink13.xml.rels><?xml version="1.0" encoding="UTF-8" standalone="yes"?>
<Relationships xmlns="http://schemas.openxmlformats.org/package/2006/relationships"><Relationship Id="rId2" Type="http://schemas.openxmlformats.org/officeDocument/2006/relationships/externalLinkPath" Target="https://fmgl-my.sharepoint.com/personal/joshua_vagnoni_fortescue_com/Documents/Microsoft%20Teams%20Chat%20Files/210PH%20Surge%20Bin%20Feasibility%20Estimate_B_20241118.xlsx" TargetMode="External"/><Relationship Id="rId1" Type="http://schemas.openxmlformats.org/officeDocument/2006/relationships/externalLinkPath" Target="https://fmgl.sharepoint.com/personal/joshua_vagnoni_fortescue_com/Documents/Microsoft%20Teams%20Chat%20Files/210PH%20Surge%20Bin%20Feasibility%20Estimate_B_20241118.xlsx" TargetMode="External"/></Relationships>
</file>

<file path=xl/externalLinks/_rels/externalLink14.xml.rels><?xml version="1.0" encoding="UTF-8" standalone="yes"?>
<Relationships xmlns="http://schemas.openxmlformats.org/package/2006/relationships"><Relationship Id="rId2" Type="http://schemas.openxmlformats.org/officeDocument/2006/relationships/externalLinkPath" Target="https://fmgl.sharepoint.com/sites/EngineeringStudies/Studies/300DC0001%20-%20Decarb%20Rail%20Charging%20Infrastructure/02_Cost%20and%20Schedule/Train%20Recharging%20WBS_Budget%20Tracker%20rev7.xlsx" TargetMode="External"/><Relationship Id="rId1" Type="http://schemas.openxmlformats.org/officeDocument/2006/relationships/externalLinkPath" Target="https://fmgl.sharepoint.com/sites/EngineeringStudies/Studies/300DC0001%20-%20Decarb%20Rail%20Charging%20Infrastructure/02_Cost%20and%20Schedule/Train%20Recharging%20WBS_Budget%20Tracker%20rev7.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oad Sheet"/>
      <sheetName val="Exhibit A"/>
      <sheetName val="Gen. Cond."/>
      <sheetName val="COST SUMMARY"/>
      <sheetName val="QUALIFICATION STATEMENT"/>
      <sheetName val="COVER"/>
      <sheetName val="EDGE"/>
      <sheetName val="EDGE 2"/>
    </sheetNames>
    <sheetDataSet>
      <sheetData sheetId="0"/>
      <sheetData sheetId="1"/>
      <sheetData sheetId="2"/>
      <sheetData sheetId="3"/>
      <sheetData sheetId="4"/>
      <sheetData sheetId="5"/>
      <sheetData sheetId="6"/>
      <sheetData sheetId="7"/>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OPF20 Notes"/>
      <sheetName val="Modules"/>
      <sheetName val="Estimate Analysis"/>
      <sheetName val="Summary Page (OPF20)"/>
      <sheetName val="P6 Import Data"/>
      <sheetName val="Mod 1 Pivot"/>
      <sheetName val="Mod 1 Pivot (Procurement Data)"/>
      <sheetName val="Module 1 - Primary Crushing"/>
      <sheetName val="Mod 2 Pivot"/>
      <sheetName val="Mod 2 Pivot (Procurement Data)"/>
      <sheetName val="Module 2 - Secondary Crushing"/>
      <sheetName val="Mod 3 Pivot"/>
      <sheetName val="Mod 3 Pivot (Procurement Data)"/>
      <sheetName val="Module 3 - Tertiary Crushing"/>
      <sheetName val="Mod 4 Pivot"/>
      <sheetName val="Mod 4 Pivot (Procurement Data)"/>
      <sheetName val="Module 4 - Grinding"/>
      <sheetName val="Mod 5 Pivot"/>
      <sheetName val="Module 5 - Fine Grinding"/>
      <sheetName val="Mod 6 Pivot"/>
      <sheetName val="Module 6 - Tailings &amp; Services"/>
      <sheetName val="LU"/>
      <sheetName val="Manhour Breakdown"/>
      <sheetName val="Appendix A - EIC"/>
      <sheetName val="Appendix B - Pipelines"/>
      <sheetName val="Access &amp; Approvals"/>
      <sheetName val="CSR PSR Codes"/>
      <sheetName val="EQ+CV - RATES"/>
      <sheetName val="BM - RATES"/>
      <sheetName val="BM - SUB-RATES"/>
      <sheetName val="CAT - CODE"/>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Dashboard"/>
      <sheetName val="Budget Tracker"/>
      <sheetName val="GSR-0001"/>
      <sheetName val="GSR-0002"/>
      <sheetName val="GSR-0003"/>
      <sheetName val="GSR-0004"/>
      <sheetName val="GSR-0005"/>
      <sheetName val="GSR-0006"/>
      <sheetName val="GSR-0007"/>
      <sheetName val="CSMS-0001"/>
      <sheetName val="ECLIPSE-0001"/>
      <sheetName val="LIVEWIRE-0001"/>
      <sheetName val="LMC-0001"/>
      <sheetName val="DELPHI-0001"/>
      <sheetName val="Package.Template"/>
      <sheetName val="Package Register"/>
      <sheetName val="Sheet3"/>
      <sheetName val="Sheet1"/>
      <sheetName val="Contract Package Comms (AUD)"/>
      <sheetName val="SAP_PO_ Export"/>
      <sheetName val="SAP_Transaction_Export"/>
      <sheetName val="CMS"/>
      <sheetName val="Anaplan"/>
      <sheetName val="PCN List"/>
      <sheetName val="Inputs"/>
      <sheetName val="GSR-0002 (2)"/>
    </sheetNames>
    <sheetDataSet>
      <sheetData sheetId="0"/>
      <sheetData sheetId="1"/>
      <sheetData sheetId="2"/>
      <sheetData sheetId="3"/>
      <sheetData sheetId="4"/>
      <sheetData sheetId="5"/>
      <sheetData sheetId="6"/>
      <sheetData sheetId="7"/>
      <sheetData sheetId="8" refreshError="1"/>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Project Assessment"/>
      <sheetName val="Option Summary"/>
      <sheetName val="Ranking Table "/>
      <sheetName val="Operational Troughput Risk Ass."/>
      <sheetName val="Cost Summary"/>
      <sheetName val="Risk"/>
      <sheetName val="RSM - Final"/>
      <sheetName val="Cost Phasing Summary - USD"/>
      <sheetName val="Cost Phasing Summary - AUD"/>
      <sheetName val="Signalling"/>
      <sheetName val="Cost Phasing"/>
      <sheetName val="Construction Cost Summary"/>
      <sheetName val="Procurement Cost Summary"/>
      <sheetName val="Traction Substations"/>
      <sheetName val="Timeline"/>
      <sheetName val="Sheet3"/>
      <sheetName val="Sheet1"/>
      <sheetName val="Owners Cost"/>
      <sheetName val="Manning"/>
      <sheetName val="Owners Team Level of Effort"/>
      <sheetName val="Prefered Option Cost"/>
      <sheetName val="Laydown Cost"/>
      <sheetName val="Per km Cost Check"/>
      <sheetName val="Engineering"/>
      <sheetName val="OLE Productivity "/>
      <sheetName val="Option 1.1A"/>
      <sheetName val="Option 1.2A"/>
      <sheetName val="Option 1.1B"/>
      <sheetName val="Option 1.2B"/>
      <sheetName val="Option 2.1A"/>
      <sheetName val="Option 2.1B"/>
      <sheetName val="Option 2.2A"/>
      <sheetName val="Option 2.2B"/>
      <sheetName val="Min Option"/>
      <sheetName val="NH3 Summary"/>
      <sheetName val="Sheet4"/>
      <sheetName val="Sheet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structions"/>
      <sheetName val="Currency"/>
      <sheetName val="Proj Input"/>
      <sheetName val="Project Order Report"/>
      <sheetName val="Data"/>
      <sheetName val="Detail Estimate"/>
      <sheetName val="Crew BU"/>
      <sheetName val="Change Summary"/>
      <sheetName val="ECW Data"/>
      <sheetName val="EST Metrics"/>
      <sheetName val="Alt POR"/>
      <sheetName val="E B S"/>
      <sheetName val="COA Check"/>
      <sheetName val="Metrics Chart (2)"/>
      <sheetName val="POR Metrics"/>
      <sheetName val="Rev Log"/>
      <sheetName val="CSS Input Sheet"/>
      <sheetName val="Contract Notification"/>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efreshError="1"/>
      <sheetData sheetId="14"/>
      <sheetData sheetId="15"/>
      <sheetData sheetId="16"/>
      <sheetData sheetId="17"/>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Basis"/>
      <sheetName val="OBE EST SUMMARY"/>
      <sheetName val="A.1 Equipment"/>
      <sheetName val="A.2 Civil &amp; Earthworks"/>
      <sheetName val="A.3 Piling"/>
      <sheetName val="A.4 Concrete"/>
      <sheetName val="A.5 Architectural"/>
      <sheetName val="A.6 Structural"/>
      <sheetName val="A.7 Insulation"/>
      <sheetName val="A.8 Coatings"/>
      <sheetName val="A.9 Storage Tank"/>
      <sheetName val="A.10 Piping"/>
      <sheetName val="A.11 Electrical"/>
      <sheetName val="A.12 Instrumentation"/>
      <sheetName val="A.13 Startup &amp; Comm"/>
      <sheetName val="A.14 Material Freight"/>
      <sheetName val="B.1 Vendor Reps"/>
      <sheetName val="B.2 Spare Parts"/>
      <sheetName val="B.3 First Fills"/>
      <sheetName val="B.4 Commsision Support"/>
      <sheetName val="C.1 Project Team"/>
      <sheetName val="C.2 Engineering"/>
      <sheetName val="C.3 Proc &amp; Logistics"/>
      <sheetName val="C.4 Equipment Rental"/>
      <sheetName val="C.5 Small Tool &amp; Supplies"/>
      <sheetName val="C.6 Site F&amp;S"/>
      <sheetName val="C.7 Training &amp; Orientaion"/>
      <sheetName val="C.8 Prorate &amp; Indirects"/>
      <sheetName val="D.1 Escalation"/>
      <sheetName val="E.1 Commercial Costs"/>
      <sheetName val="F.1 Risk"/>
      <sheetName val="F.2 Estimate Variation"/>
      <sheetName val="Data"/>
      <sheetName val="INFO"/>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Summary"/>
      <sheetName val="Project Schedule"/>
      <sheetName val="Owners Cost - Level of Effort"/>
      <sheetName val="Procurement"/>
      <sheetName val="Ammonia Storage Tank"/>
      <sheetName val="Power Supply"/>
      <sheetName val="C.1. Civil, Earthwork &amp; Conc"/>
      <sheetName val="C.2. SMP"/>
      <sheetName val="C.3. E&amp;I"/>
      <sheetName val="Structural Steel"/>
      <sheetName val="Structural Steel Qty"/>
      <sheetName val="Coating &amp; Painting"/>
      <sheetName val="Commissioning Rep"/>
      <sheetName val="Ready for Startup"/>
      <sheetName val="DATA"/>
      <sheetName val="Ammonia Storage Facility Estima"/>
    </sheet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sheetData sheetId="13"/>
      <sheetData sheetId="14" refreshError="1"/>
      <sheetData sheetId="15"/>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Warning Screen"/>
      <sheetName val="UserControls"/>
      <sheetName val="Instructions"/>
      <sheetName val="EST Notes"/>
      <sheetName val="Curr&amp;CoNo"/>
      <sheetName val="Proj Input"/>
      <sheetName val="Project Order Report"/>
      <sheetName val="CF Inputs"/>
      <sheetName val="Cashflow"/>
      <sheetName val="CashFlow Graph"/>
      <sheetName val="Data"/>
      <sheetName val="Detail Estimate"/>
      <sheetName val="Material Summary"/>
      <sheetName val="EST Metrics"/>
      <sheetName val="Extras to be included"/>
      <sheetName val="Crew BU"/>
      <sheetName val="Eng &amp; Proc Est"/>
      <sheetName val="Change Summary"/>
      <sheetName val="Sheet1"/>
      <sheetName val="Change Summary PH1"/>
      <sheetName val="Bond Calc"/>
      <sheetName val="POR Delta"/>
      <sheetName val="ECW Data"/>
      <sheetName val="FreeData"/>
      <sheetName val="CSS Input"/>
      <sheetName val="Contract Notification"/>
      <sheetName val="Alt POR"/>
      <sheetName val="E B S"/>
      <sheetName val="E B S ALT"/>
      <sheetName val="Chart1"/>
      <sheetName val="COA Check"/>
      <sheetName val="Revision Log"/>
      <sheetName val="Exchange Rates"/>
      <sheetName val="iDocs-Hide"/>
    </sheetNames>
    <sheetDataSet>
      <sheetData sheetId="0"/>
      <sheetData sheetId="1"/>
      <sheetData sheetId="2"/>
      <sheetData sheetId="3"/>
      <sheetData sheetId="4"/>
      <sheetData sheetId="5"/>
      <sheetData sheetId="6"/>
      <sheetData sheetId="7"/>
      <sheetData sheetId="8"/>
      <sheetData sheetId="9" refreshError="1"/>
      <sheetData sheetId="10"/>
      <sheetData sheetId="11"/>
      <sheetData sheetId="12"/>
      <sheetData sheetId="13"/>
      <sheetData sheetId="14"/>
      <sheetData sheetId="15"/>
      <sheetData sheetId="16"/>
      <sheetData sheetId="17"/>
      <sheetData sheetId="18" refreshError="1"/>
      <sheetData sheetId="19"/>
      <sheetData sheetId="20"/>
      <sheetData sheetId="21"/>
      <sheetData sheetId="22"/>
      <sheetData sheetId="23"/>
      <sheetData sheetId="24"/>
      <sheetData sheetId="25"/>
      <sheetData sheetId="26"/>
      <sheetData sheetId="27"/>
      <sheetData sheetId="28"/>
      <sheetData sheetId="29" refreshError="1"/>
      <sheetData sheetId="30"/>
      <sheetData sheetId="31"/>
      <sheetData sheetId="32"/>
      <sheetData sheetId="33"/>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actors"/>
    </sheetNames>
    <sheetDataSet>
      <sheetData sheetId="0"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Fig 6-7"/>
    </sheetNames>
    <sheetDataSet>
      <sheetData sheetId="0"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Input"/>
      <sheetName val="EXHIBIT A"/>
      <sheetName val="Concrete"/>
      <sheetName val="Masonry"/>
      <sheetName val="Steel"/>
      <sheetName val="Fire Proofing"/>
      <sheetName val="Roofing"/>
      <sheetName val="Doors &amp; Hardware"/>
      <sheetName val="Glass &amp; Glazing"/>
      <sheetName val="Overhead Doors"/>
      <sheetName val="GWB-EIFS-LG-ACT"/>
      <sheetName val="Caulking"/>
      <sheetName val="EXHIBIT C-1"/>
      <sheetName val="EXHIBIT C-2"/>
      <sheetName val="EXHIBIT D"/>
      <sheetName val="EXHIBIT E"/>
      <sheetName val="Cover Letter"/>
      <sheetName val="Start-up information"/>
      <sheetName val="CONTRAC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WBS Structure_Current "/>
      <sheetName val="WBS Structure_Proposed_RevB"/>
      <sheetName val="WBS Structure_Proposed_RevC"/>
      <sheetName val="Facility Codes"/>
      <sheetName val="Sheet1"/>
    </sheetNames>
    <sheetDataSet>
      <sheetData sheetId="0"/>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driveId="b!YJ5ADkkBeECCzFZiyvm2uLNzzr-bLPRNs94T9u1HYdz0AXFsww9WTK6kPvUxCEbo" itemId="01FVRODQRPSXIFWCPYP5HYUWGIFNLEYCWB">
      <xxl21:absoluteUrl r:id="rId2"/>
    </xxl21:alternateUrls>
    <sheetNames>
      <sheetName val="Cover"/>
      <sheetName val="Index"/>
      <sheetName val="Estimate Accuracy"/>
      <sheetName val="Estimate Inputs"/>
      <sheetName val="Database"/>
      <sheetName val="Estimator Summary"/>
      <sheetName val="Estimator - BOQ"/>
      <sheetName val="CAPEX"/>
      <sheetName val="Estimator - Prelim"/>
      <sheetName val="Notes_Assumptions"/>
      <sheetName val="MTO_Source"/>
      <sheetName val="Facility Codes"/>
      <sheetName val="WBS Structure"/>
      <sheetName val="Lists"/>
      <sheetName val="Notes (Hide this tab)"/>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Notes"/>
      <sheetName val="Sheet1"/>
      <sheetName val="S-Curve"/>
      <sheetName val="Dashboard"/>
      <sheetName val="WBS Structure"/>
      <sheetName val="WBS"/>
      <sheetName val="Budget Tracker (J)"/>
      <sheetName val="Budget Tracker"/>
      <sheetName val="Pricing Schedule"/>
      <sheetName val="Summary Cost"/>
      <sheetName val="OLE - Final"/>
      <sheetName val="Risk &amp; Contig Comments"/>
      <sheetName val="Traction Substations - Final"/>
      <sheetName val="Engineering - Final"/>
      <sheetName val="RSM - Final"/>
      <sheetName val="Signals - Final"/>
      <sheetName val="Lists"/>
      <sheetName val="Logistics"/>
      <sheetName val="Supporting Schedule"/>
      <sheetName val="BOE Review"/>
      <sheetName val="Laydown Cost"/>
      <sheetName val="Footing Summary"/>
      <sheetName val="Assumptions Index"/>
      <sheetName val="SAP_Export"/>
      <sheetName val="Working Schedule"/>
      <sheetName val="Owners Team Level of Effort"/>
      <sheetName val="Project Schedule"/>
      <sheetName val="Master Schedule"/>
      <sheetName val="Manning"/>
      <sheetName val="Jacobs Schedule"/>
      <sheetName val="Feasibility Cost"/>
      <sheetName val="Study Schedule"/>
      <sheetName val="Feasability Deliverable Reg"/>
      <sheetName val="Sheet3"/>
      <sheetName val="Sheet2"/>
      <sheetName val="Copper Qty"/>
      <sheetName val="Estimate ~ RSM"/>
      <sheetName val="Estimate ~ OHC"/>
      <sheetName val="Standard Build Up"/>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0C3A80-ED87-ED43-99DC-40F189925C2A}">
  <dimension ref="B1:M63"/>
  <sheetViews>
    <sheetView zoomScale="160" zoomScaleNormal="160" workbookViewId="0">
      <selection activeCell="L14" sqref="L14"/>
    </sheetView>
  </sheetViews>
  <sheetFormatPr defaultColWidth="11.42578125" defaultRowHeight="12.75"/>
  <cols>
    <col min="1" max="1" width="2" customWidth="1"/>
    <col min="8" max="8" width="12.28515625" customWidth="1"/>
  </cols>
  <sheetData>
    <row r="1" spans="2:10" ht="8.25" customHeight="1"/>
    <row r="10" spans="2:10" ht="6.95" customHeight="1"/>
    <row r="12" spans="2:10">
      <c r="B12" s="15" t="s">
        <v>0</v>
      </c>
      <c r="C12" s="47" t="s">
        <v>1</v>
      </c>
      <c r="D12" s="47"/>
      <c r="E12" s="47"/>
      <c r="F12" s="47"/>
      <c r="G12" s="47"/>
      <c r="H12" s="47"/>
      <c r="I12" s="47"/>
      <c r="J12" s="47"/>
    </row>
    <row r="13" spans="2:10" ht="6" customHeight="1" thickBot="1">
      <c r="B13" s="48"/>
      <c r="C13" s="48"/>
      <c r="D13" s="48"/>
      <c r="E13" s="48"/>
      <c r="F13" s="48"/>
      <c r="G13" s="48"/>
      <c r="H13" s="48"/>
      <c r="I13" s="48"/>
      <c r="J13" s="48"/>
    </row>
    <row r="14" spans="2:10">
      <c r="B14" s="14" t="s">
        <v>2</v>
      </c>
      <c r="C14" s="49" t="s">
        <v>3</v>
      </c>
      <c r="D14" s="50"/>
      <c r="E14" s="50"/>
      <c r="F14" s="50"/>
      <c r="G14" s="50"/>
      <c r="H14" s="50"/>
      <c r="I14" s="50"/>
      <c r="J14" s="50"/>
    </row>
    <row r="15" spans="2:10" ht="24" customHeight="1">
      <c r="B15" s="21" t="s">
        <v>4</v>
      </c>
      <c r="C15" s="51" t="s">
        <v>5</v>
      </c>
      <c r="D15" s="36"/>
      <c r="E15" s="23" t="s">
        <v>6</v>
      </c>
      <c r="F15" s="36" t="s">
        <v>7</v>
      </c>
      <c r="G15" s="36"/>
      <c r="H15" s="23" t="s">
        <v>8</v>
      </c>
      <c r="I15" s="36" t="s">
        <v>9</v>
      </c>
      <c r="J15" s="37"/>
    </row>
    <row r="16" spans="2:10" ht="27.95" customHeight="1">
      <c r="B16" s="22" t="s">
        <v>10</v>
      </c>
      <c r="C16" s="40" t="s">
        <v>11</v>
      </c>
      <c r="D16" s="35"/>
      <c r="E16" s="24" t="s">
        <v>6</v>
      </c>
      <c r="F16" s="35" t="s">
        <v>12</v>
      </c>
      <c r="G16" s="35"/>
      <c r="H16" s="24" t="s">
        <v>8</v>
      </c>
      <c r="I16" s="35" t="s">
        <v>13</v>
      </c>
      <c r="J16" s="38"/>
    </row>
    <row r="17" spans="2:13" ht="27.95" customHeight="1">
      <c r="B17" s="27"/>
      <c r="C17" s="41" t="s">
        <v>14</v>
      </c>
      <c r="D17" s="42"/>
      <c r="E17" s="28" t="s">
        <v>6</v>
      </c>
      <c r="F17" s="42" t="s">
        <v>15</v>
      </c>
      <c r="G17" s="42"/>
      <c r="H17" s="28" t="s">
        <v>8</v>
      </c>
      <c r="I17" s="42" t="s">
        <v>13</v>
      </c>
      <c r="J17" s="43"/>
    </row>
    <row r="18" spans="2:13" ht="27.95" customHeight="1">
      <c r="B18" s="25"/>
      <c r="C18" s="44" t="s">
        <v>16</v>
      </c>
      <c r="D18" s="45"/>
      <c r="E18" s="26" t="s">
        <v>6</v>
      </c>
      <c r="F18" s="45" t="s">
        <v>17</v>
      </c>
      <c r="G18" s="45"/>
      <c r="H18" s="26" t="s">
        <v>8</v>
      </c>
      <c r="I18" s="45" t="s">
        <v>13</v>
      </c>
      <c r="J18" s="46"/>
    </row>
    <row r="19" spans="2:13" ht="6" customHeight="1"/>
    <row r="20" spans="2:13" ht="5.0999999999999996" customHeight="1"/>
    <row r="21" spans="2:13" ht="13.5" thickBot="1">
      <c r="B21" s="32" t="s">
        <v>18</v>
      </c>
      <c r="C21" s="32"/>
      <c r="D21" s="32"/>
      <c r="E21" s="32"/>
      <c r="F21" s="32"/>
      <c r="G21" s="32"/>
      <c r="H21" s="32"/>
      <c r="I21" s="32"/>
      <c r="J21" s="32"/>
    </row>
    <row r="22" spans="2:13" ht="80.25" customHeight="1">
      <c r="B22" s="29" t="s">
        <v>19</v>
      </c>
      <c r="C22" s="39"/>
      <c r="D22" s="39"/>
      <c r="E22" s="39"/>
      <c r="F22" s="39"/>
      <c r="G22" s="39"/>
      <c r="H22" s="39"/>
      <c r="I22" s="39"/>
      <c r="J22" s="39"/>
    </row>
    <row r="23" spans="2:13" ht="6" customHeight="1"/>
    <row r="24" spans="2:13" ht="13.5" thickBot="1">
      <c r="B24" s="32" t="s">
        <v>20</v>
      </c>
      <c r="C24" s="32"/>
      <c r="D24" s="32"/>
      <c r="E24" s="32"/>
      <c r="F24" s="32"/>
      <c r="G24" s="32"/>
      <c r="H24" s="32"/>
      <c r="I24" s="32"/>
      <c r="J24" s="32"/>
    </row>
    <row r="25" spans="2:13" ht="66.75" customHeight="1" thickBot="1">
      <c r="B25" s="29" t="s">
        <v>21</v>
      </c>
      <c r="C25" s="29"/>
      <c r="D25" s="29"/>
      <c r="E25" s="29"/>
      <c r="F25" s="29"/>
      <c r="G25" s="29"/>
      <c r="H25" s="29"/>
      <c r="I25" s="29"/>
      <c r="J25" s="29"/>
    </row>
    <row r="26" spans="2:13" ht="6" customHeight="1"/>
    <row r="27" spans="2:13" ht="13.5" thickBot="1">
      <c r="B27" s="32" t="s">
        <v>22</v>
      </c>
      <c r="C27" s="32"/>
      <c r="D27" s="32"/>
      <c r="E27" s="32"/>
      <c r="F27" s="32"/>
      <c r="G27" s="32"/>
      <c r="H27" s="32"/>
      <c r="I27" s="32"/>
      <c r="J27" s="32"/>
    </row>
    <row r="28" spans="2:13" ht="103.5" customHeight="1">
      <c r="B28" s="29" t="s">
        <v>23</v>
      </c>
      <c r="C28" s="29"/>
      <c r="D28" s="29"/>
      <c r="E28" s="29"/>
      <c r="F28" s="29"/>
      <c r="G28" s="29"/>
      <c r="H28" s="29"/>
      <c r="I28" s="29"/>
      <c r="J28" s="29"/>
      <c r="M28" s="16"/>
    </row>
    <row r="29" spans="2:13" ht="6" customHeight="1"/>
    <row r="30" spans="2:13" ht="13.5" thickBot="1">
      <c r="B30" s="32" t="s">
        <v>24</v>
      </c>
      <c r="C30" s="32"/>
      <c r="D30" s="32"/>
      <c r="E30" s="32"/>
      <c r="F30" s="32"/>
      <c r="G30" s="32"/>
      <c r="H30" s="32"/>
      <c r="I30" s="32"/>
      <c r="J30" s="32"/>
    </row>
    <row r="31" spans="2:13" ht="107.25" customHeight="1">
      <c r="B31" s="29" t="s">
        <v>25</v>
      </c>
      <c r="C31" s="29"/>
      <c r="D31" s="29"/>
      <c r="E31" s="29"/>
      <c r="F31" s="29"/>
      <c r="G31" s="29"/>
      <c r="H31" s="29"/>
      <c r="I31" s="29"/>
      <c r="J31" s="29"/>
      <c r="M31" s="16"/>
    </row>
    <row r="32" spans="2:13" ht="6" customHeight="1"/>
    <row r="33" spans="2:13" ht="13.5" thickBot="1">
      <c r="B33" s="32" t="s">
        <v>26</v>
      </c>
      <c r="C33" s="32"/>
      <c r="D33" s="32"/>
      <c r="E33" s="32"/>
      <c r="F33" s="32"/>
      <c r="G33" s="32"/>
      <c r="H33" s="32"/>
      <c r="I33" s="32"/>
      <c r="J33" s="32"/>
    </row>
    <row r="34" spans="2:13" ht="20.100000000000001" customHeight="1" thickBot="1">
      <c r="B34" s="33" t="s">
        <v>27</v>
      </c>
      <c r="C34" s="34"/>
      <c r="D34" s="33" t="s">
        <v>28</v>
      </c>
      <c r="E34" s="33"/>
      <c r="F34" s="33"/>
      <c r="G34" s="33"/>
      <c r="H34" s="33"/>
      <c r="I34" s="33"/>
      <c r="J34" s="33"/>
      <c r="M34" s="16"/>
    </row>
    <row r="35" spans="2:13" ht="32.1" customHeight="1" thickBot="1">
      <c r="B35" s="29" t="s">
        <v>29</v>
      </c>
      <c r="C35" s="29"/>
      <c r="D35" s="30" t="s">
        <v>30</v>
      </c>
      <c r="E35" s="29"/>
      <c r="F35" s="29"/>
      <c r="G35" s="29"/>
      <c r="H35" s="29"/>
      <c r="I35" s="29"/>
      <c r="J35" s="29"/>
    </row>
    <row r="36" spans="2:13" ht="27.95" customHeight="1" thickBot="1">
      <c r="B36" s="29" t="s">
        <v>31</v>
      </c>
      <c r="C36" s="29"/>
      <c r="D36" s="30" t="s">
        <v>32</v>
      </c>
      <c r="E36" s="29"/>
      <c r="F36" s="29"/>
      <c r="G36" s="29"/>
      <c r="H36" s="29"/>
      <c r="I36" s="29"/>
      <c r="J36" s="29"/>
    </row>
    <row r="37" spans="2:13" ht="27.95" customHeight="1" thickBot="1">
      <c r="B37" s="29" t="s">
        <v>33</v>
      </c>
      <c r="C37" s="29"/>
      <c r="D37" s="30" t="s">
        <v>34</v>
      </c>
      <c r="E37" s="29"/>
      <c r="F37" s="29"/>
      <c r="G37" s="29"/>
      <c r="H37" s="29"/>
      <c r="I37" s="29"/>
      <c r="J37" s="29"/>
    </row>
    <row r="38" spans="2:13" ht="27" customHeight="1" thickBot="1">
      <c r="B38" s="29" t="s">
        <v>35</v>
      </c>
      <c r="C38" s="29"/>
      <c r="D38" s="30" t="s">
        <v>36</v>
      </c>
      <c r="E38" s="29"/>
      <c r="F38" s="29"/>
      <c r="G38" s="29"/>
      <c r="H38" s="29"/>
      <c r="I38" s="29"/>
      <c r="J38" s="29"/>
    </row>
    <row r="39" spans="2:13" ht="27.95" customHeight="1" thickBot="1">
      <c r="B39" s="29" t="s">
        <v>37</v>
      </c>
      <c r="C39" s="29"/>
      <c r="D39" s="30" t="s">
        <v>38</v>
      </c>
      <c r="E39" s="29"/>
      <c r="F39" s="29"/>
      <c r="G39" s="29"/>
      <c r="H39" s="29"/>
      <c r="I39" s="29"/>
      <c r="J39" s="29"/>
    </row>
    <row r="40" spans="2:13" ht="29.1" customHeight="1" thickBot="1">
      <c r="B40" s="29" t="s">
        <v>39</v>
      </c>
      <c r="C40" s="29"/>
      <c r="D40" s="30" t="s">
        <v>40</v>
      </c>
      <c r="E40" s="29"/>
      <c r="F40" s="29"/>
      <c r="G40" s="29"/>
      <c r="H40" s="29"/>
      <c r="I40" s="29"/>
      <c r="J40" s="29"/>
    </row>
    <row r="41" spans="2:13" ht="27" customHeight="1" thickBot="1">
      <c r="B41" s="29" t="s">
        <v>41</v>
      </c>
      <c r="C41" s="29"/>
      <c r="D41" s="30" t="s">
        <v>42</v>
      </c>
      <c r="E41" s="29"/>
      <c r="F41" s="29"/>
      <c r="G41" s="29"/>
      <c r="H41" s="29"/>
      <c r="I41" s="29"/>
      <c r="J41" s="29"/>
    </row>
    <row r="42" spans="2:13" ht="27.95" customHeight="1" thickBot="1">
      <c r="B42" s="29" t="s">
        <v>43</v>
      </c>
      <c r="C42" s="29"/>
      <c r="D42" s="30" t="s">
        <v>44</v>
      </c>
      <c r="E42" s="29"/>
      <c r="F42" s="29"/>
      <c r="G42" s="29"/>
      <c r="H42" s="29"/>
      <c r="I42" s="29"/>
      <c r="J42" s="29"/>
    </row>
    <row r="43" spans="2:13" ht="27" customHeight="1" thickBot="1">
      <c r="B43" s="29" t="s">
        <v>45</v>
      </c>
      <c r="C43" s="31"/>
      <c r="D43" s="30" t="s">
        <v>46</v>
      </c>
      <c r="E43" s="29"/>
      <c r="F43" s="29"/>
      <c r="G43" s="29"/>
      <c r="H43" s="29"/>
      <c r="I43" s="29"/>
      <c r="J43" s="29"/>
    </row>
    <row r="44" spans="2:13" ht="39.950000000000003" customHeight="1" thickBot="1">
      <c r="B44" s="29" t="s">
        <v>47</v>
      </c>
      <c r="C44" s="31"/>
      <c r="D44" s="30" t="s">
        <v>48</v>
      </c>
      <c r="E44" s="29"/>
      <c r="F44" s="29"/>
      <c r="G44" s="29"/>
      <c r="H44" s="29"/>
      <c r="I44" s="29"/>
      <c r="J44" s="29"/>
    </row>
    <row r="45" spans="2:13" ht="27" customHeight="1" thickBot="1">
      <c r="B45" s="29" t="s">
        <v>49</v>
      </c>
      <c r="C45" s="31"/>
      <c r="D45" s="30" t="s">
        <v>50</v>
      </c>
      <c r="E45" s="29"/>
      <c r="F45" s="29"/>
      <c r="G45" s="29"/>
      <c r="H45" s="29"/>
      <c r="I45" s="29"/>
      <c r="J45" s="29"/>
    </row>
    <row r="46" spans="2:13" ht="27" customHeight="1" thickBot="1">
      <c r="B46" s="29" t="s">
        <v>51</v>
      </c>
      <c r="C46" s="31"/>
      <c r="D46" s="30" t="s">
        <v>52</v>
      </c>
      <c r="E46" s="29"/>
      <c r="F46" s="29"/>
      <c r="G46" s="29"/>
      <c r="H46" s="29"/>
      <c r="I46" s="29"/>
      <c r="J46" s="29"/>
    </row>
    <row r="47" spans="2:13" ht="27" customHeight="1" thickBot="1">
      <c r="B47" s="29" t="s">
        <v>53</v>
      </c>
      <c r="C47" s="31"/>
      <c r="D47" s="30" t="s">
        <v>54</v>
      </c>
      <c r="E47" s="29"/>
      <c r="F47" s="29"/>
      <c r="G47" s="29"/>
      <c r="H47" s="29"/>
      <c r="I47" s="29"/>
      <c r="J47" s="29"/>
    </row>
    <row r="48" spans="2:13" ht="27" customHeight="1" thickBot="1">
      <c r="B48" s="29" t="s">
        <v>55</v>
      </c>
      <c r="C48" s="31"/>
      <c r="D48" s="30" t="s">
        <v>56</v>
      </c>
      <c r="E48" s="29"/>
      <c r="F48" s="29"/>
      <c r="G48" s="29"/>
      <c r="H48" s="29"/>
      <c r="I48" s="29"/>
      <c r="J48" s="29"/>
    </row>
    <row r="49" spans="2:13" ht="27" customHeight="1" thickBot="1">
      <c r="B49" s="29" t="s">
        <v>57</v>
      </c>
      <c r="C49" s="31"/>
      <c r="D49" s="30" t="s">
        <v>58</v>
      </c>
      <c r="E49" s="29"/>
      <c r="F49" s="29"/>
      <c r="G49" s="29"/>
      <c r="H49" s="29"/>
      <c r="I49" s="29"/>
      <c r="J49" s="29"/>
    </row>
    <row r="50" spans="2:13" ht="6" customHeight="1"/>
    <row r="51" spans="2:13" ht="13.5" thickBot="1">
      <c r="B51" s="32" t="s">
        <v>59</v>
      </c>
      <c r="C51" s="32"/>
      <c r="D51" s="32"/>
      <c r="E51" s="32"/>
      <c r="F51" s="32"/>
      <c r="G51" s="32"/>
      <c r="H51" s="32"/>
      <c r="I51" s="32"/>
      <c r="J51" s="32"/>
    </row>
    <row r="52" spans="2:13" ht="20.100000000000001" customHeight="1" thickBot="1">
      <c r="B52" s="33" t="s">
        <v>60</v>
      </c>
      <c r="C52" s="34"/>
      <c r="D52" s="33" t="s">
        <v>61</v>
      </c>
      <c r="E52" s="33"/>
      <c r="F52" s="33"/>
      <c r="G52" s="33"/>
      <c r="H52" s="33"/>
      <c r="I52" s="33"/>
      <c r="J52" s="33"/>
      <c r="M52" s="16"/>
    </row>
    <row r="53" spans="2:13" ht="32.1" customHeight="1" thickBot="1">
      <c r="B53" s="29" t="s">
        <v>62</v>
      </c>
      <c r="C53" s="29"/>
      <c r="D53" s="30" t="s">
        <v>63</v>
      </c>
      <c r="E53" s="29"/>
      <c r="F53" s="29"/>
      <c r="G53" s="29"/>
      <c r="H53" s="29"/>
      <c r="I53" s="29"/>
      <c r="J53" s="29"/>
    </row>
    <row r="54" spans="2:13" ht="33" customHeight="1" thickBot="1">
      <c r="B54" s="29" t="s">
        <v>64</v>
      </c>
      <c r="C54" s="29"/>
      <c r="D54" s="30" t="s">
        <v>65</v>
      </c>
      <c r="E54" s="29"/>
      <c r="F54" s="29"/>
      <c r="G54" s="29"/>
      <c r="H54" s="29"/>
      <c r="I54" s="29"/>
      <c r="J54" s="29"/>
    </row>
    <row r="55" spans="2:13" ht="27.95" customHeight="1" thickBot="1">
      <c r="B55" s="29" t="s">
        <v>66</v>
      </c>
      <c r="C55" s="29"/>
      <c r="D55" s="30" t="s">
        <v>67</v>
      </c>
      <c r="E55" s="29"/>
      <c r="F55" s="29"/>
      <c r="G55" s="29"/>
      <c r="H55" s="29"/>
      <c r="I55" s="29"/>
      <c r="J55" s="29"/>
    </row>
    <row r="56" spans="2:13" ht="27" customHeight="1" thickBot="1">
      <c r="B56" s="29" t="s">
        <v>68</v>
      </c>
      <c r="C56" s="29"/>
      <c r="D56" s="30" t="s">
        <v>69</v>
      </c>
      <c r="E56" s="29"/>
      <c r="F56" s="29"/>
      <c r="G56" s="29"/>
      <c r="H56" s="29"/>
      <c r="I56" s="29"/>
      <c r="J56" s="29"/>
    </row>
    <row r="57" spans="2:13" ht="39" customHeight="1" thickBot="1">
      <c r="B57" s="29" t="s">
        <v>70</v>
      </c>
      <c r="C57" s="29"/>
      <c r="D57" s="30" t="s">
        <v>71</v>
      </c>
      <c r="E57" s="29"/>
      <c r="F57" s="29"/>
      <c r="G57" s="29"/>
      <c r="H57" s="29"/>
      <c r="I57" s="29"/>
      <c r="J57" s="29"/>
    </row>
    <row r="58" spans="2:13" ht="29.1" customHeight="1" thickBot="1">
      <c r="B58" s="29" t="s">
        <v>72</v>
      </c>
      <c r="C58" s="29"/>
      <c r="D58" s="30" t="s">
        <v>73</v>
      </c>
      <c r="E58" s="29"/>
      <c r="F58" s="29"/>
      <c r="G58" s="29"/>
      <c r="H58" s="29"/>
      <c r="I58" s="29"/>
      <c r="J58" s="29"/>
    </row>
    <row r="59" spans="2:13" ht="29.1" customHeight="1" thickBot="1">
      <c r="B59" s="29" t="s">
        <v>74</v>
      </c>
      <c r="C59" s="29"/>
      <c r="D59" s="30" t="s">
        <v>75</v>
      </c>
      <c r="E59" s="29"/>
      <c r="F59" s="29"/>
      <c r="G59" s="29"/>
      <c r="H59" s="29"/>
      <c r="I59" s="29"/>
      <c r="J59" s="29"/>
    </row>
    <row r="60" spans="2:13" ht="29.1" customHeight="1" thickBot="1">
      <c r="B60" s="29" t="s">
        <v>76</v>
      </c>
      <c r="C60" s="29"/>
      <c r="D60" s="30" t="s">
        <v>77</v>
      </c>
      <c r="E60" s="29"/>
      <c r="F60" s="29"/>
      <c r="G60" s="29"/>
      <c r="H60" s="29"/>
      <c r="I60" s="29"/>
      <c r="J60" s="29"/>
    </row>
    <row r="61" spans="2:13" ht="29.1" customHeight="1" thickBot="1">
      <c r="B61" s="29" t="s">
        <v>78</v>
      </c>
      <c r="C61" s="29"/>
      <c r="D61" s="30" t="s">
        <v>79</v>
      </c>
      <c r="E61" s="29"/>
      <c r="F61" s="29"/>
      <c r="G61" s="29"/>
      <c r="H61" s="29"/>
      <c r="I61" s="29"/>
      <c r="J61" s="29"/>
    </row>
    <row r="62" spans="2:13" ht="29.1" customHeight="1" thickBot="1">
      <c r="B62" s="29" t="s">
        <v>80</v>
      </c>
      <c r="C62" s="29"/>
      <c r="D62" s="30" t="s">
        <v>81</v>
      </c>
      <c r="E62" s="29"/>
      <c r="F62" s="29"/>
      <c r="G62" s="29"/>
      <c r="H62" s="29"/>
      <c r="I62" s="29"/>
      <c r="J62" s="29"/>
    </row>
    <row r="63" spans="2:13" ht="32.1" customHeight="1" thickBot="1">
      <c r="B63" s="29" t="s">
        <v>82</v>
      </c>
      <c r="C63" s="29"/>
      <c r="D63" s="30" t="s">
        <v>83</v>
      </c>
      <c r="E63" s="29"/>
      <c r="F63" s="29"/>
      <c r="G63" s="29"/>
      <c r="H63" s="29"/>
      <c r="I63" s="29"/>
      <c r="J63" s="29"/>
    </row>
  </sheetData>
  <mergeCells count="81">
    <mergeCell ref="B62:C62"/>
    <mergeCell ref="D62:J62"/>
    <mergeCell ref="B63:C63"/>
    <mergeCell ref="D63:J63"/>
    <mergeCell ref="B59:C59"/>
    <mergeCell ref="D59:J59"/>
    <mergeCell ref="B60:C60"/>
    <mergeCell ref="D60:J60"/>
    <mergeCell ref="B61:C61"/>
    <mergeCell ref="D61:J61"/>
    <mergeCell ref="C12:J12"/>
    <mergeCell ref="B13:J13"/>
    <mergeCell ref="C14:J14"/>
    <mergeCell ref="C15:D15"/>
    <mergeCell ref="F15:G15"/>
    <mergeCell ref="F16:G16"/>
    <mergeCell ref="I15:J15"/>
    <mergeCell ref="I16:J16"/>
    <mergeCell ref="B21:J21"/>
    <mergeCell ref="B22:J22"/>
    <mergeCell ref="C16:D16"/>
    <mergeCell ref="C17:D17"/>
    <mergeCell ref="F17:G17"/>
    <mergeCell ref="I17:J17"/>
    <mergeCell ref="C18:D18"/>
    <mergeCell ref="F18:G18"/>
    <mergeCell ref="I18:J18"/>
    <mergeCell ref="B24:J24"/>
    <mergeCell ref="B25:J25"/>
    <mergeCell ref="B27:J27"/>
    <mergeCell ref="B28:J28"/>
    <mergeCell ref="B30:J30"/>
    <mergeCell ref="B36:C36"/>
    <mergeCell ref="D36:J36"/>
    <mergeCell ref="B37:C37"/>
    <mergeCell ref="D37:J37"/>
    <mergeCell ref="B31:J31"/>
    <mergeCell ref="B33:J33"/>
    <mergeCell ref="B34:C34"/>
    <mergeCell ref="D34:J34"/>
    <mergeCell ref="B35:C35"/>
    <mergeCell ref="D35:J35"/>
    <mergeCell ref="B38:C38"/>
    <mergeCell ref="D38:J38"/>
    <mergeCell ref="B39:C39"/>
    <mergeCell ref="D39:J39"/>
    <mergeCell ref="B40:C40"/>
    <mergeCell ref="D40:J40"/>
    <mergeCell ref="B41:C41"/>
    <mergeCell ref="D41:J41"/>
    <mergeCell ref="B42:C42"/>
    <mergeCell ref="D42:J42"/>
    <mergeCell ref="B49:C49"/>
    <mergeCell ref="D49:J49"/>
    <mergeCell ref="B43:C43"/>
    <mergeCell ref="D43:J43"/>
    <mergeCell ref="B48:C48"/>
    <mergeCell ref="D48:J48"/>
    <mergeCell ref="B54:C54"/>
    <mergeCell ref="D54:J54"/>
    <mergeCell ref="B44:C44"/>
    <mergeCell ref="D44:J44"/>
    <mergeCell ref="B47:C47"/>
    <mergeCell ref="D47:J47"/>
    <mergeCell ref="B45:C45"/>
    <mergeCell ref="D45:J45"/>
    <mergeCell ref="B46:C46"/>
    <mergeCell ref="D46:J46"/>
    <mergeCell ref="B51:J51"/>
    <mergeCell ref="B52:C52"/>
    <mergeCell ref="D52:J52"/>
    <mergeCell ref="B53:C53"/>
    <mergeCell ref="D53:J53"/>
    <mergeCell ref="B58:C58"/>
    <mergeCell ref="D58:J58"/>
    <mergeCell ref="B55:C55"/>
    <mergeCell ref="D55:J55"/>
    <mergeCell ref="B56:C56"/>
    <mergeCell ref="D56:J56"/>
    <mergeCell ref="B57:C57"/>
    <mergeCell ref="D57:J57"/>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F8D105-C10E-6945-9EFC-7221867993DD}">
  <dimension ref="B1:J23"/>
  <sheetViews>
    <sheetView topLeftCell="A10" zoomScale="175" zoomScaleNormal="175" workbookViewId="0">
      <selection activeCell="M14" sqref="M14"/>
    </sheetView>
  </sheetViews>
  <sheetFormatPr defaultColWidth="11.42578125" defaultRowHeight="12.75"/>
  <cols>
    <col min="1" max="1" width="2" customWidth="1"/>
  </cols>
  <sheetData>
    <row r="1" spans="2:10" ht="14.1" customHeight="1"/>
    <row r="10" spans="2:10" ht="6.95" customHeight="1"/>
    <row r="12" spans="2:10" ht="6" customHeight="1" thickBot="1">
      <c r="B12" s="48"/>
      <c r="C12" s="48"/>
      <c r="D12" s="48"/>
      <c r="E12" s="48"/>
      <c r="F12" s="48"/>
      <c r="G12" s="48"/>
      <c r="H12" s="48"/>
      <c r="I12" s="48"/>
      <c r="J12" s="48"/>
    </row>
    <row r="13" spans="2:10" ht="13.5" thickBot="1">
      <c r="B13" s="17" t="s">
        <v>84</v>
      </c>
      <c r="C13" s="60" t="s">
        <v>85</v>
      </c>
      <c r="D13" s="61"/>
      <c r="E13" s="60" t="s">
        <v>4</v>
      </c>
      <c r="F13" s="61"/>
      <c r="G13" s="60" t="s">
        <v>86</v>
      </c>
      <c r="H13" s="62"/>
      <c r="I13" s="62"/>
      <c r="J13" s="62"/>
    </row>
    <row r="14" spans="2:10" ht="86.25" customHeight="1">
      <c r="B14" s="18" t="s">
        <v>87</v>
      </c>
      <c r="C14" s="63">
        <v>46007</v>
      </c>
      <c r="D14" s="59"/>
      <c r="E14" s="58" t="s">
        <v>5</v>
      </c>
      <c r="F14" s="59"/>
      <c r="G14" s="64" t="s">
        <v>88</v>
      </c>
      <c r="H14" s="65"/>
      <c r="I14" s="65"/>
      <c r="J14" s="65"/>
    </row>
    <row r="15" spans="2:10" ht="40.5" customHeight="1">
      <c r="B15" s="18" t="s">
        <v>89</v>
      </c>
      <c r="C15" s="52" t="s">
        <v>90</v>
      </c>
      <c r="D15" s="53"/>
      <c r="E15" s="52" t="s">
        <v>91</v>
      </c>
      <c r="F15" s="53"/>
      <c r="G15" s="66" t="s">
        <v>92</v>
      </c>
      <c r="H15" s="67"/>
      <c r="I15" s="67"/>
      <c r="J15" s="67"/>
    </row>
    <row r="16" spans="2:10">
      <c r="B16" s="18"/>
      <c r="C16" s="52"/>
      <c r="D16" s="53"/>
      <c r="E16" s="52"/>
      <c r="F16" s="53"/>
      <c r="G16" s="52"/>
      <c r="H16" s="57"/>
      <c r="I16" s="57"/>
      <c r="J16" s="57"/>
    </row>
    <row r="17" spans="2:10">
      <c r="B17" s="19"/>
      <c r="C17" s="52"/>
      <c r="D17" s="53"/>
      <c r="E17" s="52"/>
      <c r="F17" s="53"/>
      <c r="G17" s="52"/>
      <c r="H17" s="57"/>
      <c r="I17" s="57"/>
      <c r="J17" s="57"/>
    </row>
    <row r="18" spans="2:10">
      <c r="B18" s="19"/>
      <c r="C18" s="52"/>
      <c r="D18" s="53"/>
      <c r="E18" s="52"/>
      <c r="F18" s="53"/>
      <c r="G18" s="52"/>
      <c r="H18" s="57"/>
      <c r="I18" s="57"/>
      <c r="J18" s="57"/>
    </row>
    <row r="19" spans="2:10">
      <c r="B19" s="19"/>
      <c r="C19" s="52"/>
      <c r="D19" s="53"/>
      <c r="E19" s="52"/>
      <c r="F19" s="53"/>
      <c r="G19" s="52"/>
      <c r="H19" s="57"/>
      <c r="I19" s="57"/>
      <c r="J19" s="57"/>
    </row>
    <row r="20" spans="2:10" ht="13.5" thickBot="1">
      <c r="B20" s="20"/>
      <c r="C20" s="54"/>
      <c r="D20" s="55"/>
      <c r="E20" s="54"/>
      <c r="F20" s="55"/>
      <c r="G20" s="54"/>
      <c r="H20" s="56"/>
      <c r="I20" s="56"/>
      <c r="J20" s="56"/>
    </row>
    <row r="21" spans="2:10" ht="6" customHeight="1"/>
    <row r="22" spans="2:10" ht="5.0999999999999996" customHeight="1"/>
    <row r="23" spans="2:10" ht="6" customHeight="1"/>
  </sheetData>
  <mergeCells count="25">
    <mergeCell ref="B12:J12"/>
    <mergeCell ref="C15:D15"/>
    <mergeCell ref="E14:F14"/>
    <mergeCell ref="E15:F15"/>
    <mergeCell ref="C18:D18"/>
    <mergeCell ref="C13:D13"/>
    <mergeCell ref="E13:F13"/>
    <mergeCell ref="G13:J13"/>
    <mergeCell ref="C14:D14"/>
    <mergeCell ref="G14:J14"/>
    <mergeCell ref="G15:J15"/>
    <mergeCell ref="C19:D19"/>
    <mergeCell ref="C20:D20"/>
    <mergeCell ref="G20:J20"/>
    <mergeCell ref="C16:D16"/>
    <mergeCell ref="E16:F16"/>
    <mergeCell ref="C17:D17"/>
    <mergeCell ref="E17:F17"/>
    <mergeCell ref="E18:F18"/>
    <mergeCell ref="E19:F19"/>
    <mergeCell ref="E20:F20"/>
    <mergeCell ref="G16:J16"/>
    <mergeCell ref="G17:J17"/>
    <mergeCell ref="G18:J18"/>
    <mergeCell ref="G19:J19"/>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254"/>
  <sheetViews>
    <sheetView tabSelected="1" zoomScale="90" zoomScaleNormal="90" workbookViewId="0"/>
  </sheetViews>
  <sheetFormatPr defaultColWidth="8.7109375" defaultRowHeight="12.75"/>
  <cols>
    <col min="1" max="1" width="15.85546875" style="2" customWidth="1"/>
    <col min="2" max="2" width="9.140625" style="2" customWidth="1"/>
    <col min="3" max="3" width="46.140625" style="2" customWidth="1"/>
    <col min="4" max="4" width="21.85546875" style="1" customWidth="1"/>
    <col min="5" max="5" width="31" style="1" customWidth="1"/>
    <col min="6" max="6" width="15" style="1" bestFit="1" customWidth="1"/>
    <col min="7" max="7" width="35.85546875" style="1" customWidth="1"/>
    <col min="8" max="8" width="77.5703125" style="1" customWidth="1"/>
    <col min="9" max="9" width="24.28515625" style="1" customWidth="1"/>
    <col min="10" max="10" width="27.42578125" style="2" customWidth="1"/>
    <col min="11" max="13" width="19.42578125" style="2" customWidth="1"/>
    <col min="14" max="14" width="34" style="2" customWidth="1"/>
    <col min="15" max="16384" width="8.7109375" style="2"/>
  </cols>
  <sheetData>
    <row r="1" spans="1:13" ht="17.25" customHeight="1">
      <c r="A1" s="72" t="s">
        <v>29</v>
      </c>
      <c r="B1" s="72" t="s">
        <v>93</v>
      </c>
      <c r="C1" s="73" t="s">
        <v>31</v>
      </c>
      <c r="D1" s="73" t="s">
        <v>33</v>
      </c>
      <c r="E1" s="73" t="s">
        <v>35</v>
      </c>
      <c r="F1" s="73" t="s">
        <v>94</v>
      </c>
      <c r="G1" s="73" t="s">
        <v>37</v>
      </c>
      <c r="H1" s="73" t="s">
        <v>95</v>
      </c>
      <c r="I1" s="73" t="s">
        <v>39</v>
      </c>
      <c r="J1" s="72" t="s">
        <v>41</v>
      </c>
      <c r="K1" s="72" t="s">
        <v>57</v>
      </c>
      <c r="L1" s="72" t="s">
        <v>96</v>
      </c>
      <c r="M1" s="72" t="s">
        <v>97</v>
      </c>
    </row>
    <row r="2" spans="1:13">
      <c r="A2" s="2" t="s">
        <v>543</v>
      </c>
      <c r="B2" s="2">
        <v>1</v>
      </c>
      <c r="C2" s="71" t="s">
        <v>98</v>
      </c>
      <c r="D2" s="2" t="s">
        <v>80</v>
      </c>
      <c r="E2" s="2" t="s">
        <v>104</v>
      </c>
      <c r="F2" s="2" t="s">
        <v>104</v>
      </c>
      <c r="G2" s="2" t="s">
        <v>104</v>
      </c>
      <c r="H2" s="2" t="s">
        <v>104</v>
      </c>
      <c r="I2" s="2"/>
      <c r="M2" s="2" t="s">
        <v>99</v>
      </c>
    </row>
    <row r="3" spans="1:13">
      <c r="A3" s="2" t="s">
        <v>544</v>
      </c>
      <c r="B3" s="2">
        <v>2</v>
      </c>
      <c r="C3" s="71" t="s">
        <v>100</v>
      </c>
      <c r="D3" s="2" t="s">
        <v>80</v>
      </c>
      <c r="E3" s="2" t="s">
        <v>104</v>
      </c>
      <c r="F3" s="2" t="s">
        <v>104</v>
      </c>
      <c r="G3" s="2" t="s">
        <v>104</v>
      </c>
      <c r="H3" s="2" t="s">
        <v>104</v>
      </c>
      <c r="I3" s="2"/>
      <c r="M3" s="2" t="s">
        <v>99</v>
      </c>
    </row>
    <row r="4" spans="1:13" ht="165.75">
      <c r="A4" s="2" t="s">
        <v>101</v>
      </c>
      <c r="C4" s="2" t="s">
        <v>495</v>
      </c>
      <c r="D4" s="2" t="s">
        <v>70</v>
      </c>
      <c r="E4" s="2" t="s">
        <v>443</v>
      </c>
      <c r="F4" s="2" t="s">
        <v>102</v>
      </c>
      <c r="G4" s="2" t="s">
        <v>103</v>
      </c>
      <c r="H4" s="2" t="s">
        <v>444</v>
      </c>
      <c r="I4" s="2"/>
      <c r="K4" s="2" t="s">
        <v>104</v>
      </c>
      <c r="M4" s="2" t="s">
        <v>105</v>
      </c>
    </row>
    <row r="5" spans="1:13" ht="165.75">
      <c r="A5" s="2" t="s">
        <v>106</v>
      </c>
      <c r="C5" s="2" t="s">
        <v>107</v>
      </c>
      <c r="D5" s="2" t="s">
        <v>70</v>
      </c>
      <c r="E5" s="2" t="s">
        <v>443</v>
      </c>
      <c r="F5" s="2" t="s">
        <v>102</v>
      </c>
      <c r="G5" s="2" t="s">
        <v>108</v>
      </c>
      <c r="H5" s="2" t="s">
        <v>444</v>
      </c>
      <c r="I5" s="2"/>
      <c r="M5" s="2" t="s">
        <v>105</v>
      </c>
    </row>
    <row r="6" spans="1:13" ht="165.75">
      <c r="A6" s="2" t="s">
        <v>110</v>
      </c>
      <c r="C6" s="2" t="s">
        <v>111</v>
      </c>
      <c r="D6" s="2" t="s">
        <v>70</v>
      </c>
      <c r="E6" s="2" t="s">
        <v>443</v>
      </c>
      <c r="F6" s="2" t="s">
        <v>102</v>
      </c>
      <c r="G6" s="2" t="s">
        <v>112</v>
      </c>
      <c r="H6" s="2" t="s">
        <v>444</v>
      </c>
      <c r="I6" s="2"/>
      <c r="M6" s="2" t="s">
        <v>105</v>
      </c>
    </row>
    <row r="7" spans="1:13" ht="165.75">
      <c r="A7" s="2" t="s">
        <v>113</v>
      </c>
      <c r="C7" s="2" t="s">
        <v>114</v>
      </c>
      <c r="D7" s="2" t="s">
        <v>70</v>
      </c>
      <c r="E7" s="2" t="s">
        <v>443</v>
      </c>
      <c r="F7" s="2" t="s">
        <v>102</v>
      </c>
      <c r="G7" s="2" t="s">
        <v>115</v>
      </c>
      <c r="H7" s="2" t="s">
        <v>444</v>
      </c>
      <c r="I7" s="2"/>
      <c r="M7" s="2" t="s">
        <v>105</v>
      </c>
    </row>
    <row r="8" spans="1:13" ht="153">
      <c r="A8" s="2" t="s">
        <v>116</v>
      </c>
      <c r="C8" s="2" t="s">
        <v>117</v>
      </c>
      <c r="D8" s="2" t="s">
        <v>70</v>
      </c>
      <c r="E8" s="2" t="s">
        <v>118</v>
      </c>
      <c r="F8" s="2" t="s">
        <v>102</v>
      </c>
      <c r="G8" s="1" t="s">
        <v>407</v>
      </c>
      <c r="H8" s="2" t="s">
        <v>408</v>
      </c>
      <c r="I8" s="2"/>
      <c r="M8" s="2" t="s">
        <v>105</v>
      </c>
    </row>
    <row r="9" spans="1:13" ht="153">
      <c r="A9" s="2" t="s">
        <v>120</v>
      </c>
      <c r="C9" s="2" t="s">
        <v>473</v>
      </c>
      <c r="D9" s="2" t="s">
        <v>70</v>
      </c>
      <c r="E9" s="2" t="s">
        <v>118</v>
      </c>
      <c r="F9" s="2" t="s">
        <v>102</v>
      </c>
      <c r="G9" s="2" t="s">
        <v>121</v>
      </c>
      <c r="H9" s="2" t="s">
        <v>408</v>
      </c>
      <c r="I9" s="2"/>
      <c r="M9" s="2" t="s">
        <v>105</v>
      </c>
    </row>
    <row r="10" spans="1:13" ht="153">
      <c r="A10" s="2" t="s">
        <v>123</v>
      </c>
      <c r="C10" s="2" t="s">
        <v>124</v>
      </c>
      <c r="D10" s="2" t="s">
        <v>70</v>
      </c>
      <c r="E10" s="2" t="s">
        <v>118</v>
      </c>
      <c r="F10" s="2" t="s">
        <v>102</v>
      </c>
      <c r="G10" s="2" t="s">
        <v>125</v>
      </c>
      <c r="H10" s="2" t="s">
        <v>408</v>
      </c>
      <c r="I10" s="2"/>
      <c r="M10" s="2" t="s">
        <v>105</v>
      </c>
    </row>
    <row r="11" spans="1:13" ht="153">
      <c r="A11" s="2" t="s">
        <v>126</v>
      </c>
      <c r="C11" s="2" t="s">
        <v>127</v>
      </c>
      <c r="D11" s="2" t="s">
        <v>70</v>
      </c>
      <c r="E11" s="2" t="s">
        <v>118</v>
      </c>
      <c r="F11" s="2" t="s">
        <v>102</v>
      </c>
      <c r="G11" s="2" t="s">
        <v>128</v>
      </c>
      <c r="H11" s="2" t="s">
        <v>408</v>
      </c>
      <c r="I11" s="2"/>
      <c r="M11" s="2" t="s">
        <v>105</v>
      </c>
    </row>
    <row r="12" spans="1:13" ht="140.25">
      <c r="A12" s="2" t="s">
        <v>129</v>
      </c>
      <c r="C12" s="2" t="s">
        <v>130</v>
      </c>
      <c r="D12" s="2" t="s">
        <v>70</v>
      </c>
      <c r="E12" s="2" t="s">
        <v>131</v>
      </c>
      <c r="F12" s="2" t="s">
        <v>102</v>
      </c>
      <c r="G12" s="2" t="s">
        <v>132</v>
      </c>
      <c r="H12" s="2" t="s">
        <v>395</v>
      </c>
      <c r="I12" s="2"/>
      <c r="M12" s="2" t="s">
        <v>105</v>
      </c>
    </row>
    <row r="13" spans="1:13" ht="140.25">
      <c r="A13" s="2" t="s">
        <v>133</v>
      </c>
      <c r="C13" s="2" t="s">
        <v>394</v>
      </c>
      <c r="D13" s="2" t="s">
        <v>70</v>
      </c>
      <c r="E13" s="2" t="s">
        <v>131</v>
      </c>
      <c r="F13" s="2" t="s">
        <v>102</v>
      </c>
      <c r="G13" s="2" t="s">
        <v>134</v>
      </c>
      <c r="H13" s="2" t="s">
        <v>395</v>
      </c>
      <c r="I13" s="2"/>
      <c r="M13" s="2" t="s">
        <v>105</v>
      </c>
    </row>
    <row r="14" spans="1:13" ht="140.25">
      <c r="A14" s="2" t="s">
        <v>135</v>
      </c>
      <c r="C14" s="2" t="s">
        <v>136</v>
      </c>
      <c r="D14" s="2" t="s">
        <v>70</v>
      </c>
      <c r="E14" s="2" t="s">
        <v>131</v>
      </c>
      <c r="F14" s="2" t="s">
        <v>102</v>
      </c>
      <c r="G14" s="2" t="s">
        <v>137</v>
      </c>
      <c r="H14" s="2" t="s">
        <v>395</v>
      </c>
      <c r="I14" s="2"/>
      <c r="M14" s="2" t="s">
        <v>105</v>
      </c>
    </row>
    <row r="15" spans="1:13" ht="140.25">
      <c r="A15" s="2" t="s">
        <v>138</v>
      </c>
      <c r="C15" s="2" t="s">
        <v>139</v>
      </c>
      <c r="D15" s="2" t="s">
        <v>70</v>
      </c>
      <c r="E15" s="2" t="s">
        <v>131</v>
      </c>
      <c r="F15" s="2" t="s">
        <v>102</v>
      </c>
      <c r="G15" s="2" t="s">
        <v>140</v>
      </c>
      <c r="H15" s="2" t="s">
        <v>395</v>
      </c>
      <c r="I15" s="2"/>
      <c r="M15" s="2" t="s">
        <v>105</v>
      </c>
    </row>
    <row r="16" spans="1:13" ht="140.25">
      <c r="A16" s="2" t="s">
        <v>141</v>
      </c>
      <c r="C16" s="2" t="s">
        <v>453</v>
      </c>
      <c r="D16" s="2" t="s">
        <v>70</v>
      </c>
      <c r="E16" s="2" t="s">
        <v>142</v>
      </c>
      <c r="F16" s="2" t="s">
        <v>102</v>
      </c>
      <c r="G16" s="2" t="s">
        <v>143</v>
      </c>
      <c r="H16" s="2" t="s">
        <v>383</v>
      </c>
      <c r="I16" s="2"/>
      <c r="M16" s="2" t="s">
        <v>105</v>
      </c>
    </row>
    <row r="17" spans="1:13" ht="140.25">
      <c r="A17" s="2" t="s">
        <v>144</v>
      </c>
      <c r="C17" s="2" t="s">
        <v>145</v>
      </c>
      <c r="D17" s="2" t="s">
        <v>70</v>
      </c>
      <c r="E17" s="2" t="s">
        <v>142</v>
      </c>
      <c r="F17" s="2" t="s">
        <v>102</v>
      </c>
      <c r="G17" s="2" t="s">
        <v>146</v>
      </c>
      <c r="H17" s="2" t="s">
        <v>383</v>
      </c>
      <c r="I17" s="2"/>
      <c r="M17" s="2" t="s">
        <v>105</v>
      </c>
    </row>
    <row r="18" spans="1:13" ht="140.25">
      <c r="A18" s="2" t="s">
        <v>147</v>
      </c>
      <c r="C18" s="2" t="s">
        <v>148</v>
      </c>
      <c r="D18" s="2" t="s">
        <v>70</v>
      </c>
      <c r="E18" s="2" t="s">
        <v>142</v>
      </c>
      <c r="F18" s="2" t="s">
        <v>102</v>
      </c>
      <c r="G18" s="2" t="s">
        <v>149</v>
      </c>
      <c r="H18" s="2" t="s">
        <v>383</v>
      </c>
      <c r="I18" s="2"/>
      <c r="M18" s="2" t="s">
        <v>105</v>
      </c>
    </row>
    <row r="19" spans="1:13" ht="140.25">
      <c r="A19" s="2" t="s">
        <v>150</v>
      </c>
      <c r="C19" s="2" t="s">
        <v>151</v>
      </c>
      <c r="D19" s="2" t="s">
        <v>70</v>
      </c>
      <c r="E19" s="2" t="s">
        <v>142</v>
      </c>
      <c r="F19" s="2" t="s">
        <v>102</v>
      </c>
      <c r="G19" s="2" t="s">
        <v>152</v>
      </c>
      <c r="H19" s="2" t="s">
        <v>383</v>
      </c>
      <c r="I19" s="2"/>
      <c r="M19" s="2" t="s">
        <v>105</v>
      </c>
    </row>
    <row r="20" spans="1:13" ht="165.75">
      <c r="A20" s="2" t="s">
        <v>153</v>
      </c>
      <c r="C20" s="2" t="s">
        <v>154</v>
      </c>
      <c r="D20" s="2" t="s">
        <v>70</v>
      </c>
      <c r="E20" s="2" t="s">
        <v>155</v>
      </c>
      <c r="F20" s="2" t="s">
        <v>102</v>
      </c>
      <c r="G20" s="2" t="s">
        <v>156</v>
      </c>
      <c r="H20" s="2" t="s">
        <v>468</v>
      </c>
      <c r="I20" s="2"/>
      <c r="M20" s="2" t="s">
        <v>105</v>
      </c>
    </row>
    <row r="21" spans="1:13" ht="165.75">
      <c r="A21" s="2" t="s">
        <v>157</v>
      </c>
      <c r="C21" s="2" t="s">
        <v>530</v>
      </c>
      <c r="D21" s="2" t="s">
        <v>70</v>
      </c>
      <c r="E21" s="2" t="s">
        <v>155</v>
      </c>
      <c r="F21" s="2" t="s">
        <v>102</v>
      </c>
      <c r="G21" s="2" t="s">
        <v>158</v>
      </c>
      <c r="H21" s="2" t="s">
        <v>468</v>
      </c>
      <c r="I21" s="2"/>
      <c r="M21" s="2" t="s">
        <v>105</v>
      </c>
    </row>
    <row r="22" spans="1:13" ht="165.75">
      <c r="A22" s="2" t="s">
        <v>159</v>
      </c>
      <c r="C22" s="2" t="s">
        <v>160</v>
      </c>
      <c r="D22" s="2" t="s">
        <v>70</v>
      </c>
      <c r="E22" s="2" t="s">
        <v>155</v>
      </c>
      <c r="F22" s="2" t="s">
        <v>102</v>
      </c>
      <c r="G22" s="2" t="s">
        <v>161</v>
      </c>
      <c r="H22" s="2" t="s">
        <v>468</v>
      </c>
      <c r="I22" s="2"/>
      <c r="M22" s="2" t="s">
        <v>105</v>
      </c>
    </row>
    <row r="23" spans="1:13" ht="165.75">
      <c r="A23" s="2" t="s">
        <v>162</v>
      </c>
      <c r="C23" s="2" t="s">
        <v>163</v>
      </c>
      <c r="D23" s="2" t="s">
        <v>70</v>
      </c>
      <c r="E23" s="2" t="s">
        <v>155</v>
      </c>
      <c r="F23" s="2" t="s">
        <v>102</v>
      </c>
      <c r="G23" s="2" t="s">
        <v>164</v>
      </c>
      <c r="H23" s="2" t="s">
        <v>468</v>
      </c>
      <c r="I23" s="2"/>
      <c r="M23" s="2" t="s">
        <v>105</v>
      </c>
    </row>
    <row r="24" spans="1:13" ht="153">
      <c r="A24" s="2" t="s">
        <v>165</v>
      </c>
      <c r="C24" s="2" t="s">
        <v>166</v>
      </c>
      <c r="D24" s="2" t="s">
        <v>70</v>
      </c>
      <c r="E24" s="2" t="s">
        <v>167</v>
      </c>
      <c r="F24" s="2" t="s">
        <v>102</v>
      </c>
      <c r="G24" s="2" t="s">
        <v>168</v>
      </c>
      <c r="H24" s="2" t="s">
        <v>484</v>
      </c>
      <c r="I24" s="2"/>
      <c r="M24" s="2" t="s">
        <v>105</v>
      </c>
    </row>
    <row r="25" spans="1:13" ht="153">
      <c r="A25" s="2" t="s">
        <v>169</v>
      </c>
      <c r="C25" s="2" t="s">
        <v>170</v>
      </c>
      <c r="D25" s="2" t="s">
        <v>70</v>
      </c>
      <c r="E25" s="2" t="s">
        <v>167</v>
      </c>
      <c r="F25" s="2" t="s">
        <v>102</v>
      </c>
      <c r="G25" s="2" t="s">
        <v>171</v>
      </c>
      <c r="H25" s="2" t="s">
        <v>484</v>
      </c>
      <c r="I25" s="2"/>
      <c r="M25" s="2" t="s">
        <v>105</v>
      </c>
    </row>
    <row r="26" spans="1:13" ht="153">
      <c r="A26" s="2" t="s">
        <v>172</v>
      </c>
      <c r="C26" s="2" t="s">
        <v>173</v>
      </c>
      <c r="D26" s="2" t="s">
        <v>70</v>
      </c>
      <c r="E26" s="2" t="s">
        <v>167</v>
      </c>
      <c r="F26" s="2" t="s">
        <v>102</v>
      </c>
      <c r="G26" s="2" t="s">
        <v>174</v>
      </c>
      <c r="H26" s="2" t="s">
        <v>484</v>
      </c>
      <c r="I26" s="2"/>
      <c r="M26" s="2" t="s">
        <v>105</v>
      </c>
    </row>
    <row r="27" spans="1:13" ht="153">
      <c r="A27" s="2" t="s">
        <v>175</v>
      </c>
      <c r="C27" s="2" t="s">
        <v>176</v>
      </c>
      <c r="D27" s="2" t="s">
        <v>70</v>
      </c>
      <c r="E27" s="2" t="s">
        <v>167</v>
      </c>
      <c r="F27" s="2" t="s">
        <v>102</v>
      </c>
      <c r="G27" s="2" t="s">
        <v>177</v>
      </c>
      <c r="H27" s="2" t="s">
        <v>484</v>
      </c>
      <c r="I27" s="2"/>
      <c r="M27" s="2" t="s">
        <v>105</v>
      </c>
    </row>
    <row r="28" spans="1:13" ht="153">
      <c r="A28" s="2" t="s">
        <v>178</v>
      </c>
      <c r="C28" s="2" t="s">
        <v>179</v>
      </c>
      <c r="D28" s="2" t="s">
        <v>70</v>
      </c>
      <c r="E28" s="2" t="s">
        <v>180</v>
      </c>
      <c r="F28" s="2" t="s">
        <v>102</v>
      </c>
      <c r="G28" s="2" t="s">
        <v>181</v>
      </c>
      <c r="H28" s="2" t="s">
        <v>414</v>
      </c>
      <c r="I28" s="2"/>
      <c r="M28" s="2" t="s">
        <v>105</v>
      </c>
    </row>
    <row r="29" spans="1:13" ht="153">
      <c r="A29" s="2" t="s">
        <v>182</v>
      </c>
      <c r="C29" s="2" t="s">
        <v>183</v>
      </c>
      <c r="D29" s="2" t="s">
        <v>70</v>
      </c>
      <c r="E29" s="2" t="s">
        <v>180</v>
      </c>
      <c r="F29" s="2" t="s">
        <v>102</v>
      </c>
      <c r="G29" s="2" t="s">
        <v>184</v>
      </c>
      <c r="H29" s="2" t="s">
        <v>414</v>
      </c>
      <c r="I29" s="2"/>
      <c r="M29" s="2" t="s">
        <v>105</v>
      </c>
    </row>
    <row r="30" spans="1:13" ht="153">
      <c r="A30" s="2" t="s">
        <v>185</v>
      </c>
      <c r="C30" s="2" t="s">
        <v>186</v>
      </c>
      <c r="D30" s="2" t="s">
        <v>70</v>
      </c>
      <c r="E30" s="2" t="s">
        <v>180</v>
      </c>
      <c r="F30" s="2" t="s">
        <v>102</v>
      </c>
      <c r="G30" s="2" t="s">
        <v>187</v>
      </c>
      <c r="H30" s="2" t="s">
        <v>414</v>
      </c>
      <c r="I30" s="2"/>
      <c r="M30" s="2" t="s">
        <v>105</v>
      </c>
    </row>
    <row r="31" spans="1:13" ht="153">
      <c r="A31" s="2" t="s">
        <v>188</v>
      </c>
      <c r="C31" s="2" t="s">
        <v>189</v>
      </c>
      <c r="D31" s="2" t="s">
        <v>70</v>
      </c>
      <c r="E31" s="2" t="s">
        <v>180</v>
      </c>
      <c r="F31" s="2" t="s">
        <v>102</v>
      </c>
      <c r="G31" s="2" t="s">
        <v>190</v>
      </c>
      <c r="H31" s="2" t="s">
        <v>414</v>
      </c>
      <c r="I31" s="2"/>
      <c r="M31" s="2" t="s">
        <v>105</v>
      </c>
    </row>
    <row r="32" spans="1:13" ht="153">
      <c r="A32" s="2" t="s">
        <v>191</v>
      </c>
      <c r="B32" s="13"/>
      <c r="C32" s="2" t="s">
        <v>192</v>
      </c>
      <c r="D32" s="2" t="s">
        <v>70</v>
      </c>
      <c r="E32" s="2" t="s">
        <v>193</v>
      </c>
      <c r="F32" s="2" t="s">
        <v>102</v>
      </c>
      <c r="G32" s="2" t="s">
        <v>194</v>
      </c>
      <c r="H32" s="2" t="s">
        <v>432</v>
      </c>
      <c r="I32" s="2"/>
      <c r="M32" s="2" t="s">
        <v>105</v>
      </c>
    </row>
    <row r="33" spans="1:13" ht="153">
      <c r="A33" s="2" t="s">
        <v>195</v>
      </c>
      <c r="B33" s="13"/>
      <c r="C33" s="2" t="s">
        <v>431</v>
      </c>
      <c r="D33" s="2" t="s">
        <v>70</v>
      </c>
      <c r="E33" s="2" t="s">
        <v>193</v>
      </c>
      <c r="F33" s="2" t="s">
        <v>102</v>
      </c>
      <c r="G33" s="2" t="s">
        <v>196</v>
      </c>
      <c r="H33" s="2" t="s">
        <v>432</v>
      </c>
      <c r="I33" s="2"/>
      <c r="M33" s="2" t="s">
        <v>105</v>
      </c>
    </row>
    <row r="34" spans="1:13" ht="153">
      <c r="A34" s="2" t="s">
        <v>197</v>
      </c>
      <c r="B34" s="13"/>
      <c r="C34" s="2" t="s">
        <v>198</v>
      </c>
      <c r="D34" s="2" t="s">
        <v>70</v>
      </c>
      <c r="E34" s="2" t="s">
        <v>193</v>
      </c>
      <c r="F34" s="2" t="s">
        <v>102</v>
      </c>
      <c r="G34" s="2" t="s">
        <v>199</v>
      </c>
      <c r="H34" s="2" t="s">
        <v>432</v>
      </c>
      <c r="I34" s="2"/>
      <c r="M34" s="2" t="s">
        <v>105</v>
      </c>
    </row>
    <row r="35" spans="1:13" ht="153">
      <c r="A35" s="2" t="s">
        <v>200</v>
      </c>
      <c r="B35" s="13"/>
      <c r="C35" s="2" t="s">
        <v>201</v>
      </c>
      <c r="D35" s="2" t="s">
        <v>70</v>
      </c>
      <c r="E35" s="2" t="s">
        <v>193</v>
      </c>
      <c r="F35" s="2" t="s">
        <v>102</v>
      </c>
      <c r="G35" s="2" t="s">
        <v>202</v>
      </c>
      <c r="H35" s="2" t="s">
        <v>432</v>
      </c>
      <c r="I35" s="2"/>
      <c r="M35" s="2" t="s">
        <v>105</v>
      </c>
    </row>
    <row r="36" spans="1:13" ht="153">
      <c r="A36" s="2" t="s">
        <v>203</v>
      </c>
      <c r="C36" s="2" t="s">
        <v>204</v>
      </c>
      <c r="D36" s="2" t="s">
        <v>70</v>
      </c>
      <c r="E36" s="2" t="s">
        <v>205</v>
      </c>
      <c r="F36" s="2" t="s">
        <v>102</v>
      </c>
      <c r="G36" s="2" t="s">
        <v>206</v>
      </c>
      <c r="H36" s="2" t="s">
        <v>386</v>
      </c>
      <c r="I36" s="2"/>
      <c r="M36" s="2" t="s">
        <v>105</v>
      </c>
    </row>
    <row r="37" spans="1:13" ht="293.25">
      <c r="A37" s="2" t="s">
        <v>207</v>
      </c>
      <c r="C37" s="2" t="s">
        <v>464</v>
      </c>
      <c r="D37" s="2" t="s">
        <v>70</v>
      </c>
      <c r="E37" s="2" t="s">
        <v>205</v>
      </c>
      <c r="F37" s="2" t="s">
        <v>102</v>
      </c>
      <c r="G37" s="2" t="s">
        <v>465</v>
      </c>
      <c r="H37" s="2" t="s">
        <v>386</v>
      </c>
      <c r="I37" s="2"/>
      <c r="M37" s="2" t="s">
        <v>105</v>
      </c>
    </row>
    <row r="38" spans="1:13" ht="153">
      <c r="A38" s="2" t="s">
        <v>208</v>
      </c>
      <c r="C38" s="2" t="s">
        <v>209</v>
      </c>
      <c r="D38" s="2" t="s">
        <v>70</v>
      </c>
      <c r="E38" s="2" t="s">
        <v>205</v>
      </c>
      <c r="F38" s="2" t="s">
        <v>102</v>
      </c>
      <c r="G38" s="2" t="s">
        <v>210</v>
      </c>
      <c r="H38" s="2" t="s">
        <v>386</v>
      </c>
      <c r="I38" s="2"/>
      <c r="M38" s="2" t="s">
        <v>105</v>
      </c>
    </row>
    <row r="39" spans="1:13" ht="153">
      <c r="A39" s="2" t="s">
        <v>211</v>
      </c>
      <c r="C39" s="2" t="s">
        <v>212</v>
      </c>
      <c r="D39" s="2" t="s">
        <v>70</v>
      </c>
      <c r="E39" s="2" t="s">
        <v>205</v>
      </c>
      <c r="F39" s="2" t="s">
        <v>102</v>
      </c>
      <c r="G39" s="2" t="s">
        <v>213</v>
      </c>
      <c r="H39" s="2" t="s">
        <v>386</v>
      </c>
      <c r="I39" s="2"/>
      <c r="M39" s="2" t="s">
        <v>105</v>
      </c>
    </row>
    <row r="40" spans="1:13" ht="165.75">
      <c r="A40" s="2" t="s">
        <v>214</v>
      </c>
      <c r="C40" s="2" t="s">
        <v>215</v>
      </c>
      <c r="D40" s="2" t="s">
        <v>70</v>
      </c>
      <c r="E40" s="2" t="s">
        <v>216</v>
      </c>
      <c r="F40" s="2" t="s">
        <v>102</v>
      </c>
      <c r="G40" s="2" t="s">
        <v>217</v>
      </c>
      <c r="H40" s="2" t="s">
        <v>404</v>
      </c>
      <c r="I40" s="2"/>
      <c r="M40" s="2" t="s">
        <v>105</v>
      </c>
    </row>
    <row r="41" spans="1:13" ht="165.75">
      <c r="A41" s="2" t="s">
        <v>218</v>
      </c>
      <c r="C41" s="2" t="s">
        <v>403</v>
      </c>
      <c r="D41" s="2" t="s">
        <v>70</v>
      </c>
      <c r="E41" s="2" t="s">
        <v>216</v>
      </c>
      <c r="F41" s="2" t="s">
        <v>102</v>
      </c>
      <c r="G41" s="2" t="s">
        <v>219</v>
      </c>
      <c r="H41" s="2" t="s">
        <v>404</v>
      </c>
      <c r="I41" s="2"/>
      <c r="M41" s="2" t="s">
        <v>105</v>
      </c>
    </row>
    <row r="42" spans="1:13" ht="165.75">
      <c r="A42" s="2" t="s">
        <v>220</v>
      </c>
      <c r="C42" s="2" t="s">
        <v>440</v>
      </c>
      <c r="D42" s="2" t="s">
        <v>70</v>
      </c>
      <c r="E42" s="2" t="s">
        <v>216</v>
      </c>
      <c r="F42" s="2" t="s">
        <v>102</v>
      </c>
      <c r="G42" s="2" t="s">
        <v>221</v>
      </c>
      <c r="H42" s="2" t="s">
        <v>404</v>
      </c>
      <c r="I42" s="2"/>
      <c r="M42" s="2" t="s">
        <v>105</v>
      </c>
    </row>
    <row r="43" spans="1:13" ht="165.75">
      <c r="A43" s="2" t="s">
        <v>222</v>
      </c>
      <c r="C43" s="2" t="s">
        <v>223</v>
      </c>
      <c r="D43" s="2" t="s">
        <v>70</v>
      </c>
      <c r="E43" s="2" t="s">
        <v>216</v>
      </c>
      <c r="F43" s="2" t="s">
        <v>102</v>
      </c>
      <c r="G43" s="2" t="s">
        <v>224</v>
      </c>
      <c r="H43" s="2" t="s">
        <v>404</v>
      </c>
      <c r="I43" s="2"/>
      <c r="M43" s="2" t="s">
        <v>105</v>
      </c>
    </row>
    <row r="44" spans="1:13" ht="140.25">
      <c r="A44" s="2" t="s">
        <v>225</v>
      </c>
      <c r="C44" s="2" t="s">
        <v>226</v>
      </c>
      <c r="D44" s="2" t="s">
        <v>70</v>
      </c>
      <c r="E44" s="2" t="s">
        <v>227</v>
      </c>
      <c r="F44" s="2" t="s">
        <v>102</v>
      </c>
      <c r="G44" s="2" t="s">
        <v>228</v>
      </c>
      <c r="H44" s="2" t="s">
        <v>389</v>
      </c>
      <c r="I44" s="2"/>
      <c r="M44" s="2" t="s">
        <v>105</v>
      </c>
    </row>
    <row r="45" spans="1:13" ht="140.25">
      <c r="A45" s="2" t="s">
        <v>229</v>
      </c>
      <c r="C45" s="2" t="s">
        <v>461</v>
      </c>
      <c r="D45" s="2" t="s">
        <v>70</v>
      </c>
      <c r="E45" s="2" t="s">
        <v>227</v>
      </c>
      <c r="F45" s="2" t="s">
        <v>102</v>
      </c>
      <c r="G45" s="2" t="s">
        <v>230</v>
      </c>
      <c r="H45" s="2" t="s">
        <v>389</v>
      </c>
      <c r="I45" s="2"/>
      <c r="M45" s="2" t="s">
        <v>105</v>
      </c>
    </row>
    <row r="46" spans="1:13" ht="140.25">
      <c r="A46" s="2" t="s">
        <v>231</v>
      </c>
      <c r="C46" s="2" t="s">
        <v>232</v>
      </c>
      <c r="D46" s="2" t="s">
        <v>70</v>
      </c>
      <c r="E46" s="2" t="s">
        <v>227</v>
      </c>
      <c r="F46" s="2" t="s">
        <v>102</v>
      </c>
      <c r="G46" s="2" t="s">
        <v>233</v>
      </c>
      <c r="H46" s="2" t="s">
        <v>389</v>
      </c>
      <c r="I46" s="2"/>
      <c r="M46" s="2" t="s">
        <v>105</v>
      </c>
    </row>
    <row r="47" spans="1:13" ht="140.25">
      <c r="A47" s="2" t="s">
        <v>234</v>
      </c>
      <c r="C47" s="2" t="s">
        <v>235</v>
      </c>
      <c r="D47" s="2" t="s">
        <v>70</v>
      </c>
      <c r="E47" s="2" t="s">
        <v>227</v>
      </c>
      <c r="F47" s="2" t="s">
        <v>102</v>
      </c>
      <c r="G47" s="2" t="s">
        <v>236</v>
      </c>
      <c r="H47" s="2" t="s">
        <v>389</v>
      </c>
      <c r="I47" s="2"/>
      <c r="M47" s="2" t="s">
        <v>105</v>
      </c>
    </row>
    <row r="48" spans="1:13" ht="306.95" customHeight="1">
      <c r="A48" s="2" t="s">
        <v>237</v>
      </c>
      <c r="C48" s="2" t="s">
        <v>238</v>
      </c>
      <c r="D48" s="2" t="s">
        <v>70</v>
      </c>
      <c r="E48" s="2" t="s">
        <v>239</v>
      </c>
      <c r="F48" s="2" t="s">
        <v>102</v>
      </c>
      <c r="G48" s="2" t="s">
        <v>240</v>
      </c>
      <c r="H48" s="2" t="s">
        <v>428</v>
      </c>
      <c r="I48" s="2"/>
      <c r="M48" s="2" t="s">
        <v>105</v>
      </c>
    </row>
    <row r="49" spans="1:13" ht="165.75">
      <c r="A49" s="2" t="s">
        <v>241</v>
      </c>
      <c r="C49" s="2" t="s">
        <v>435</v>
      </c>
      <c r="D49" s="2" t="s">
        <v>70</v>
      </c>
      <c r="E49" s="2" t="s">
        <v>239</v>
      </c>
      <c r="F49" s="2" t="s">
        <v>102</v>
      </c>
      <c r="G49" s="2" t="s">
        <v>242</v>
      </c>
      <c r="H49" s="2" t="s">
        <v>428</v>
      </c>
      <c r="I49" s="2"/>
      <c r="M49" s="2" t="s">
        <v>105</v>
      </c>
    </row>
    <row r="50" spans="1:13" ht="165.75">
      <c r="A50" s="2" t="s">
        <v>243</v>
      </c>
      <c r="C50" s="2" t="s">
        <v>244</v>
      </c>
      <c r="D50" s="2" t="s">
        <v>70</v>
      </c>
      <c r="E50" s="2" t="s">
        <v>239</v>
      </c>
      <c r="F50" s="2" t="s">
        <v>102</v>
      </c>
      <c r="G50" s="2" t="s">
        <v>245</v>
      </c>
      <c r="H50" s="2" t="s">
        <v>428</v>
      </c>
      <c r="I50" s="2"/>
      <c r="M50" s="2" t="s">
        <v>105</v>
      </c>
    </row>
    <row r="51" spans="1:13" ht="165.75">
      <c r="A51" s="2" t="s">
        <v>246</v>
      </c>
      <c r="C51" s="2" t="s">
        <v>247</v>
      </c>
      <c r="D51" s="2" t="s">
        <v>70</v>
      </c>
      <c r="E51" s="2" t="s">
        <v>239</v>
      </c>
      <c r="F51" s="2" t="s">
        <v>102</v>
      </c>
      <c r="G51" s="2" t="s">
        <v>248</v>
      </c>
      <c r="H51" s="2" t="s">
        <v>428</v>
      </c>
      <c r="I51" s="2"/>
      <c r="M51" s="2" t="s">
        <v>105</v>
      </c>
    </row>
    <row r="52" spans="1:13" ht="285" customHeight="1">
      <c r="A52" s="2" t="s">
        <v>249</v>
      </c>
      <c r="C52" s="2" t="s">
        <v>250</v>
      </c>
      <c r="D52" s="2" t="s">
        <v>70</v>
      </c>
      <c r="E52" s="2" t="s">
        <v>251</v>
      </c>
      <c r="F52" s="2" t="s">
        <v>102</v>
      </c>
      <c r="G52" s="2" t="s">
        <v>252</v>
      </c>
      <c r="H52" s="2" t="s">
        <v>411</v>
      </c>
      <c r="I52" s="2"/>
      <c r="M52" s="2" t="s">
        <v>105</v>
      </c>
    </row>
    <row r="53" spans="1:13" ht="178.5">
      <c r="A53" s="2" t="s">
        <v>253</v>
      </c>
      <c r="C53" s="2" t="s">
        <v>498</v>
      </c>
      <c r="D53" s="2" t="s">
        <v>70</v>
      </c>
      <c r="E53" s="2" t="s">
        <v>251</v>
      </c>
      <c r="F53" s="2" t="s">
        <v>102</v>
      </c>
      <c r="G53" s="2" t="s">
        <v>254</v>
      </c>
      <c r="H53" s="2" t="s">
        <v>411</v>
      </c>
      <c r="I53" s="2"/>
      <c r="M53" s="2" t="s">
        <v>105</v>
      </c>
    </row>
    <row r="54" spans="1:13" ht="178.5">
      <c r="A54" s="2" t="s">
        <v>255</v>
      </c>
      <c r="C54" s="2" t="s">
        <v>511</v>
      </c>
      <c r="D54" s="2" t="s">
        <v>70</v>
      </c>
      <c r="E54" s="2" t="s">
        <v>251</v>
      </c>
      <c r="F54" s="2" t="s">
        <v>102</v>
      </c>
      <c r="G54" s="2" t="s">
        <v>256</v>
      </c>
      <c r="H54" s="2" t="s">
        <v>411</v>
      </c>
      <c r="I54" s="2"/>
      <c r="M54" s="2" t="s">
        <v>105</v>
      </c>
    </row>
    <row r="55" spans="1:13" ht="178.5">
      <c r="A55" s="2" t="s">
        <v>257</v>
      </c>
      <c r="C55" s="2" t="s">
        <v>258</v>
      </c>
      <c r="D55" s="2" t="s">
        <v>70</v>
      </c>
      <c r="E55" s="2" t="s">
        <v>251</v>
      </c>
      <c r="F55" s="2" t="s">
        <v>102</v>
      </c>
      <c r="G55" s="2" t="s">
        <v>259</v>
      </c>
      <c r="H55" s="2" t="s">
        <v>411</v>
      </c>
      <c r="I55" s="2"/>
      <c r="M55" s="2" t="s">
        <v>105</v>
      </c>
    </row>
    <row r="56" spans="1:13" ht="76.5">
      <c r="A56" s="2" t="s">
        <v>260</v>
      </c>
      <c r="C56" s="2" t="s">
        <v>261</v>
      </c>
      <c r="D56" s="2" t="s">
        <v>70</v>
      </c>
      <c r="E56" s="2" t="s">
        <v>262</v>
      </c>
      <c r="F56" s="2" t="s">
        <v>102</v>
      </c>
      <c r="G56" s="2" t="s">
        <v>263</v>
      </c>
      <c r="H56" s="2" t="s">
        <v>400</v>
      </c>
      <c r="I56" s="2"/>
      <c r="M56" s="2" t="s">
        <v>105</v>
      </c>
    </row>
    <row r="57" spans="1:13" ht="76.5">
      <c r="A57" s="2" t="s">
        <v>264</v>
      </c>
      <c r="C57" s="2" t="s">
        <v>265</v>
      </c>
      <c r="D57" s="2" t="s">
        <v>70</v>
      </c>
      <c r="E57" s="2" t="s">
        <v>262</v>
      </c>
      <c r="F57" s="2" t="s">
        <v>102</v>
      </c>
      <c r="G57" s="2" t="s">
        <v>266</v>
      </c>
      <c r="H57" s="2" t="s">
        <v>400</v>
      </c>
      <c r="I57" s="2"/>
      <c r="M57" s="2" t="s">
        <v>105</v>
      </c>
    </row>
    <row r="58" spans="1:13" ht="76.5">
      <c r="A58" s="2" t="s">
        <v>267</v>
      </c>
      <c r="C58" s="2" t="s">
        <v>268</v>
      </c>
      <c r="D58" s="2" t="s">
        <v>70</v>
      </c>
      <c r="E58" s="2" t="s">
        <v>262</v>
      </c>
      <c r="F58" s="2" t="s">
        <v>102</v>
      </c>
      <c r="G58" s="2" t="s">
        <v>269</v>
      </c>
      <c r="H58" s="2" t="s">
        <v>400</v>
      </c>
      <c r="I58" s="2"/>
      <c r="M58" s="2" t="s">
        <v>105</v>
      </c>
    </row>
    <row r="59" spans="1:13" ht="102">
      <c r="A59" s="2" t="s">
        <v>270</v>
      </c>
      <c r="C59" s="2" t="s">
        <v>271</v>
      </c>
      <c r="D59" s="2" t="s">
        <v>70</v>
      </c>
      <c r="E59" s="2" t="s">
        <v>272</v>
      </c>
      <c r="F59" s="2" t="s">
        <v>102</v>
      </c>
      <c r="G59" s="2" t="s">
        <v>273</v>
      </c>
      <c r="H59" s="2" t="s">
        <v>421</v>
      </c>
      <c r="I59" s="2"/>
      <c r="M59" s="2" t="s">
        <v>105</v>
      </c>
    </row>
    <row r="60" spans="1:13" ht="102">
      <c r="A60" s="2" t="s">
        <v>274</v>
      </c>
      <c r="C60" s="2" t="s">
        <v>420</v>
      </c>
      <c r="D60" s="2" t="s">
        <v>70</v>
      </c>
      <c r="E60" s="2" t="s">
        <v>272</v>
      </c>
      <c r="F60" s="2" t="s">
        <v>102</v>
      </c>
      <c r="G60" s="2" t="s">
        <v>275</v>
      </c>
      <c r="H60" s="2" t="s">
        <v>421</v>
      </c>
      <c r="I60" s="2"/>
      <c r="M60" s="2" t="s">
        <v>105</v>
      </c>
    </row>
    <row r="61" spans="1:13" ht="102">
      <c r="A61" s="2" t="s">
        <v>276</v>
      </c>
      <c r="C61" s="2" t="s">
        <v>277</v>
      </c>
      <c r="D61" s="2" t="s">
        <v>70</v>
      </c>
      <c r="E61" s="2" t="s">
        <v>272</v>
      </c>
      <c r="F61" s="2" t="s">
        <v>102</v>
      </c>
      <c r="G61" s="2" t="s">
        <v>278</v>
      </c>
      <c r="H61" s="2" t="s">
        <v>421</v>
      </c>
      <c r="I61" s="2"/>
      <c r="M61" s="2" t="s">
        <v>105</v>
      </c>
    </row>
    <row r="62" spans="1:13" ht="102">
      <c r="A62" s="2" t="s">
        <v>279</v>
      </c>
      <c r="C62" s="2" t="s">
        <v>280</v>
      </c>
      <c r="D62" s="2" t="s">
        <v>70</v>
      </c>
      <c r="E62" s="2" t="s">
        <v>272</v>
      </c>
      <c r="F62" s="2" t="s">
        <v>102</v>
      </c>
      <c r="G62" s="2" t="s">
        <v>281</v>
      </c>
      <c r="H62" s="2" t="s">
        <v>421</v>
      </c>
      <c r="I62" s="2"/>
      <c r="M62" s="2" t="s">
        <v>105</v>
      </c>
    </row>
    <row r="63" spans="1:13" ht="216.75">
      <c r="A63" s="2" t="s">
        <v>282</v>
      </c>
      <c r="C63" s="2" t="s">
        <v>283</v>
      </c>
      <c r="D63" s="2" t="s">
        <v>70</v>
      </c>
      <c r="E63" s="2" t="s">
        <v>284</v>
      </c>
      <c r="F63" s="2" t="s">
        <v>102</v>
      </c>
      <c r="G63" s="2" t="s">
        <v>285</v>
      </c>
      <c r="H63" s="2" t="s">
        <v>417</v>
      </c>
      <c r="I63" s="2"/>
      <c r="M63" s="2" t="s">
        <v>105</v>
      </c>
    </row>
    <row r="64" spans="1:13" ht="216.75">
      <c r="A64" s="2" t="s">
        <v>286</v>
      </c>
      <c r="C64" s="2" t="s">
        <v>456</v>
      </c>
      <c r="D64" s="2" t="s">
        <v>70</v>
      </c>
      <c r="E64" s="2" t="s">
        <v>284</v>
      </c>
      <c r="F64" s="2" t="s">
        <v>102</v>
      </c>
      <c r="G64" s="2" t="s">
        <v>287</v>
      </c>
      <c r="H64" s="2" t="s">
        <v>417</v>
      </c>
      <c r="I64" s="2"/>
      <c r="M64" s="2" t="s">
        <v>105</v>
      </c>
    </row>
    <row r="65" spans="1:13" ht="216.75">
      <c r="A65" s="2" t="s">
        <v>288</v>
      </c>
      <c r="C65" s="2" t="s">
        <v>289</v>
      </c>
      <c r="D65" s="2" t="s">
        <v>70</v>
      </c>
      <c r="E65" s="2" t="s">
        <v>284</v>
      </c>
      <c r="F65" s="2" t="s">
        <v>102</v>
      </c>
      <c r="G65" s="2" t="s">
        <v>290</v>
      </c>
      <c r="H65" s="2" t="s">
        <v>417</v>
      </c>
      <c r="I65" s="2"/>
      <c r="M65" s="2" t="s">
        <v>105</v>
      </c>
    </row>
    <row r="66" spans="1:13" ht="216.75">
      <c r="A66" s="2" t="s">
        <v>291</v>
      </c>
      <c r="C66" s="2" t="s">
        <v>292</v>
      </c>
      <c r="D66" s="2" t="s">
        <v>70</v>
      </c>
      <c r="E66" s="2" t="s">
        <v>284</v>
      </c>
      <c r="F66" s="2" t="s">
        <v>102</v>
      </c>
      <c r="G66" s="2" t="s">
        <v>293</v>
      </c>
      <c r="H66" s="2" t="s">
        <v>417</v>
      </c>
      <c r="I66" s="2"/>
      <c r="M66" s="2" t="s">
        <v>105</v>
      </c>
    </row>
    <row r="67" spans="1:13">
      <c r="D67" s="2"/>
      <c r="E67" s="2"/>
      <c r="F67" s="2"/>
      <c r="I67" s="2"/>
    </row>
    <row r="68" spans="1:13">
      <c r="D68" s="2"/>
      <c r="E68" s="2"/>
      <c r="F68" s="2"/>
      <c r="I68" s="2"/>
    </row>
    <row r="69" spans="1:13">
      <c r="D69" s="2"/>
      <c r="E69" s="2"/>
      <c r="F69" s="2"/>
      <c r="I69" s="2"/>
    </row>
    <row r="70" spans="1:13">
      <c r="C70" s="12"/>
      <c r="D70" s="2"/>
      <c r="E70" s="2"/>
      <c r="F70" s="2"/>
      <c r="I70" s="2"/>
    </row>
    <row r="71" spans="1:13">
      <c r="D71" s="2"/>
      <c r="E71" s="2"/>
      <c r="F71" s="2"/>
      <c r="I71" s="2"/>
    </row>
    <row r="72" spans="1:13">
      <c r="D72" s="2"/>
      <c r="E72" s="2"/>
      <c r="F72" s="2"/>
      <c r="I72" s="2"/>
    </row>
    <row r="73" spans="1:13">
      <c r="D73" s="2"/>
      <c r="E73" s="2"/>
      <c r="F73" s="2"/>
      <c r="I73" s="2"/>
    </row>
    <row r="74" spans="1:13">
      <c r="D74" s="2"/>
      <c r="E74" s="2"/>
      <c r="F74" s="2"/>
      <c r="I74" s="2"/>
    </row>
    <row r="75" spans="1:13">
      <c r="D75" s="2"/>
      <c r="E75" s="2"/>
      <c r="F75" s="2"/>
      <c r="I75" s="2"/>
    </row>
    <row r="76" spans="1:13">
      <c r="D76" s="2"/>
      <c r="E76" s="2"/>
      <c r="F76" s="2"/>
      <c r="I76" s="2"/>
    </row>
    <row r="77" spans="1:13">
      <c r="D77" s="2"/>
      <c r="E77" s="2"/>
      <c r="F77" s="2"/>
      <c r="I77" s="2"/>
    </row>
    <row r="78" spans="1:13">
      <c r="D78" s="2"/>
      <c r="E78" s="2"/>
      <c r="F78" s="2"/>
      <c r="I78" s="2"/>
    </row>
    <row r="79" spans="1:13">
      <c r="D79" s="2"/>
      <c r="E79" s="2"/>
      <c r="F79" s="2"/>
      <c r="I79" s="2"/>
    </row>
    <row r="80" spans="1:13">
      <c r="D80" s="2"/>
      <c r="E80" s="2"/>
      <c r="F80" s="2"/>
      <c r="I80" s="2"/>
    </row>
    <row r="81" spans="1:9">
      <c r="D81" s="2"/>
      <c r="E81" s="2"/>
      <c r="F81" s="2"/>
      <c r="I81" s="2"/>
    </row>
    <row r="82" spans="1:9">
      <c r="D82" s="2"/>
      <c r="E82" s="2"/>
      <c r="F82" s="2"/>
      <c r="I82" s="2"/>
    </row>
    <row r="83" spans="1:9">
      <c r="D83" s="2"/>
      <c r="E83" s="2"/>
      <c r="F83" s="2"/>
      <c r="I83" s="2"/>
    </row>
    <row r="84" spans="1:9">
      <c r="D84" s="2"/>
      <c r="E84" s="2"/>
      <c r="F84" s="2"/>
      <c r="I84" s="2"/>
    </row>
    <row r="85" spans="1:9">
      <c r="D85" s="2"/>
      <c r="E85" s="2"/>
      <c r="F85" s="2"/>
      <c r="I85" s="2"/>
    </row>
    <row r="86" spans="1:9">
      <c r="D86" s="2"/>
      <c r="E86" s="2"/>
      <c r="F86" s="2"/>
      <c r="I86" s="2"/>
    </row>
    <row r="87" spans="1:9">
      <c r="D87" s="2"/>
      <c r="E87" s="2"/>
      <c r="F87" s="2"/>
      <c r="I87" s="2"/>
    </row>
    <row r="88" spans="1:9">
      <c r="D88" s="2"/>
      <c r="E88" s="2"/>
      <c r="F88" s="2"/>
      <c r="I88" s="2"/>
    </row>
    <row r="89" spans="1:9">
      <c r="D89" s="2"/>
      <c r="E89" s="2"/>
      <c r="F89" s="2"/>
      <c r="I89" s="2"/>
    </row>
    <row r="90" spans="1:9">
      <c r="D90" s="2"/>
      <c r="E90" s="2"/>
      <c r="F90" s="2"/>
      <c r="I90" s="2"/>
    </row>
    <row r="91" spans="1:9">
      <c r="D91" s="2"/>
      <c r="E91" s="2"/>
      <c r="F91" s="2"/>
      <c r="I91" s="2"/>
    </row>
    <row r="92" spans="1:9">
      <c r="D92" s="2"/>
      <c r="E92" s="2"/>
      <c r="F92" s="2"/>
      <c r="I92" s="2"/>
    </row>
    <row r="93" spans="1:9">
      <c r="D93" s="2"/>
      <c r="E93" s="2"/>
      <c r="F93" s="2"/>
      <c r="I93" s="2"/>
    </row>
    <row r="94" spans="1:9">
      <c r="D94" s="2"/>
      <c r="E94" s="2"/>
      <c r="F94" s="2"/>
      <c r="I94" s="2"/>
    </row>
    <row r="95" spans="1:9">
      <c r="A95" s="5"/>
      <c r="B95" s="5"/>
      <c r="D95" s="2"/>
      <c r="E95" s="2"/>
      <c r="F95" s="2"/>
      <c r="I95" s="2"/>
    </row>
    <row r="96" spans="1:9">
      <c r="D96" s="2"/>
      <c r="E96" s="2"/>
      <c r="F96" s="2"/>
      <c r="I96" s="2"/>
    </row>
    <row r="97" spans="1:9">
      <c r="D97" s="2"/>
      <c r="E97" s="2"/>
      <c r="F97" s="2"/>
      <c r="I97" s="2"/>
    </row>
    <row r="98" spans="1:9">
      <c r="D98" s="2"/>
      <c r="E98" s="2"/>
      <c r="F98" s="2"/>
      <c r="I98" s="2"/>
    </row>
    <row r="99" spans="1:9">
      <c r="D99" s="2"/>
      <c r="E99" s="2"/>
      <c r="F99" s="2"/>
      <c r="I99" s="2"/>
    </row>
    <row r="100" spans="1:9">
      <c r="D100" s="2"/>
      <c r="E100" s="2"/>
      <c r="F100" s="2"/>
      <c r="I100" s="2"/>
    </row>
    <row r="101" spans="1:9">
      <c r="D101" s="2"/>
      <c r="E101" s="2"/>
      <c r="F101" s="2"/>
      <c r="I101" s="2"/>
    </row>
    <row r="102" spans="1:9">
      <c r="D102" s="2"/>
      <c r="E102" s="2"/>
      <c r="F102" s="2"/>
      <c r="I102" s="2"/>
    </row>
    <row r="103" spans="1:9">
      <c r="D103" s="2"/>
      <c r="E103" s="2"/>
      <c r="F103" s="2"/>
      <c r="I103" s="2"/>
    </row>
    <row r="104" spans="1:9">
      <c r="D104" s="2"/>
      <c r="E104" s="2"/>
      <c r="F104" s="2"/>
      <c r="I104" s="2"/>
    </row>
    <row r="105" spans="1:9">
      <c r="D105" s="2"/>
      <c r="E105" s="2"/>
      <c r="F105" s="2"/>
      <c r="I105" s="2"/>
    </row>
    <row r="106" spans="1:9">
      <c r="D106" s="2"/>
      <c r="E106" s="2"/>
      <c r="F106" s="2"/>
      <c r="I106" s="2"/>
    </row>
    <row r="107" spans="1:9">
      <c r="D107" s="2"/>
      <c r="E107" s="2"/>
      <c r="F107" s="2"/>
      <c r="I107" s="2"/>
    </row>
    <row r="108" spans="1:9">
      <c r="D108" s="2"/>
      <c r="E108" s="2"/>
      <c r="F108" s="2"/>
      <c r="I108" s="2"/>
    </row>
    <row r="109" spans="1:9">
      <c r="A109" s="13"/>
      <c r="B109" s="13"/>
      <c r="C109" s="12"/>
      <c r="D109" s="2"/>
      <c r="E109" s="2"/>
      <c r="F109" s="2"/>
      <c r="I109" s="2"/>
    </row>
    <row r="110" spans="1:9">
      <c r="A110" s="5"/>
      <c r="B110" s="5"/>
      <c r="D110" s="2"/>
      <c r="E110" s="2"/>
      <c r="F110" s="2"/>
      <c r="H110" s="2"/>
      <c r="I110" s="2"/>
    </row>
    <row r="111" spans="1:9">
      <c r="A111" s="5"/>
      <c r="B111" s="5"/>
      <c r="D111" s="2"/>
      <c r="E111" s="2"/>
      <c r="F111" s="2"/>
      <c r="I111" s="2"/>
    </row>
    <row r="112" spans="1:9">
      <c r="A112" s="5"/>
      <c r="B112" s="5"/>
      <c r="D112" s="2"/>
      <c r="E112" s="2"/>
      <c r="F112" s="2"/>
      <c r="I112" s="2"/>
    </row>
    <row r="113" spans="1:9">
      <c r="A113" s="5"/>
      <c r="B113" s="5"/>
      <c r="D113" s="2"/>
      <c r="E113" s="2"/>
      <c r="F113" s="2"/>
      <c r="I113" s="2"/>
    </row>
    <row r="114" spans="1:9">
      <c r="A114" s="5"/>
      <c r="B114" s="5"/>
      <c r="D114" s="2"/>
      <c r="E114" s="2"/>
      <c r="F114" s="2"/>
      <c r="I114" s="2"/>
    </row>
    <row r="115" spans="1:9">
      <c r="C115" s="12"/>
      <c r="D115" s="2"/>
      <c r="E115" s="2"/>
      <c r="F115" s="2"/>
      <c r="I115" s="2"/>
    </row>
    <row r="116" spans="1:9">
      <c r="A116" s="5"/>
      <c r="B116" s="5"/>
      <c r="D116" s="2"/>
      <c r="E116" s="2"/>
      <c r="F116" s="2"/>
      <c r="I116" s="2"/>
    </row>
    <row r="117" spans="1:9">
      <c r="A117" s="5"/>
      <c r="B117" s="5"/>
      <c r="D117" s="2"/>
      <c r="E117" s="2"/>
      <c r="F117" s="2"/>
      <c r="I117" s="2"/>
    </row>
    <row r="118" spans="1:9">
      <c r="A118" s="5"/>
      <c r="B118" s="5"/>
      <c r="D118" s="2"/>
      <c r="E118" s="2"/>
      <c r="F118" s="2"/>
      <c r="I118" s="2"/>
    </row>
    <row r="119" spans="1:9">
      <c r="A119" s="5"/>
      <c r="B119" s="5"/>
      <c r="D119" s="2"/>
      <c r="E119" s="2"/>
      <c r="F119" s="2"/>
      <c r="I119" s="2"/>
    </row>
    <row r="120" spans="1:9">
      <c r="A120" s="13"/>
      <c r="B120" s="13"/>
      <c r="C120" s="12"/>
      <c r="D120" s="2"/>
      <c r="E120" s="2"/>
      <c r="F120" s="2"/>
      <c r="I120" s="2"/>
    </row>
    <row r="121" spans="1:9">
      <c r="A121" s="5"/>
      <c r="B121" s="5"/>
      <c r="D121" s="2"/>
      <c r="E121" s="2"/>
      <c r="F121" s="2"/>
      <c r="I121" s="2"/>
    </row>
    <row r="122" spans="1:9">
      <c r="A122" s="5"/>
      <c r="B122" s="5"/>
      <c r="D122" s="2"/>
      <c r="E122" s="2"/>
      <c r="F122" s="2"/>
      <c r="I122" s="2"/>
    </row>
    <row r="123" spans="1:9">
      <c r="A123" s="5"/>
      <c r="B123" s="5"/>
      <c r="D123" s="2"/>
      <c r="E123" s="2"/>
      <c r="F123" s="2"/>
      <c r="I123" s="2"/>
    </row>
    <row r="124" spans="1:9">
      <c r="A124" s="13"/>
      <c r="B124" s="13"/>
      <c r="C124" s="12"/>
      <c r="D124" s="2"/>
      <c r="E124" s="2"/>
      <c r="F124" s="2"/>
      <c r="I124" s="2"/>
    </row>
    <row r="125" spans="1:9">
      <c r="A125" s="5"/>
      <c r="B125" s="5"/>
      <c r="D125" s="2"/>
      <c r="E125" s="2"/>
      <c r="F125" s="2"/>
      <c r="I125" s="2"/>
    </row>
    <row r="126" spans="1:9">
      <c r="A126" s="5"/>
      <c r="B126" s="5"/>
      <c r="D126" s="2"/>
      <c r="E126" s="2"/>
      <c r="F126" s="2"/>
      <c r="I126" s="2"/>
    </row>
    <row r="127" spans="1:9">
      <c r="A127" s="5"/>
      <c r="B127" s="5"/>
      <c r="D127" s="2"/>
      <c r="E127" s="2"/>
      <c r="F127" s="2"/>
      <c r="I127" s="2"/>
    </row>
    <row r="128" spans="1:9">
      <c r="A128" s="5"/>
      <c r="B128" s="5"/>
      <c r="D128" s="2"/>
      <c r="E128" s="2"/>
      <c r="F128" s="2"/>
      <c r="I128" s="2"/>
    </row>
    <row r="129" spans="3:9">
      <c r="D129" s="2"/>
      <c r="E129" s="6"/>
      <c r="F129" s="6"/>
      <c r="I129" s="2"/>
    </row>
    <row r="130" spans="3:9">
      <c r="D130" s="2"/>
      <c r="E130" s="6"/>
      <c r="F130" s="6"/>
      <c r="I130" s="2"/>
    </row>
    <row r="131" spans="3:9">
      <c r="D131" s="2"/>
      <c r="E131" s="6"/>
      <c r="F131" s="6"/>
      <c r="I131" s="2"/>
    </row>
    <row r="132" spans="3:9">
      <c r="D132" s="2"/>
      <c r="E132" s="6"/>
      <c r="F132" s="6"/>
      <c r="I132" s="2"/>
    </row>
    <row r="133" spans="3:9">
      <c r="D133" s="2"/>
      <c r="E133" s="6"/>
      <c r="F133" s="6"/>
      <c r="I133" s="2"/>
    </row>
    <row r="134" spans="3:9">
      <c r="D134" s="2"/>
      <c r="E134" s="6"/>
      <c r="F134" s="6"/>
      <c r="I134" s="2"/>
    </row>
    <row r="135" spans="3:9">
      <c r="D135" s="2"/>
      <c r="E135" s="6"/>
      <c r="F135" s="6"/>
      <c r="I135" s="2"/>
    </row>
    <row r="136" spans="3:9" ht="18">
      <c r="C136" s="10"/>
      <c r="D136" s="2"/>
      <c r="E136" s="6"/>
      <c r="F136" s="6"/>
      <c r="I136" s="2"/>
    </row>
    <row r="137" spans="3:9">
      <c r="D137" s="2"/>
      <c r="E137" s="6"/>
      <c r="F137" s="6"/>
      <c r="I137" s="2"/>
    </row>
    <row r="138" spans="3:9">
      <c r="D138" s="2"/>
      <c r="E138" s="6"/>
      <c r="F138" s="6"/>
      <c r="I138" s="2"/>
    </row>
    <row r="139" spans="3:9">
      <c r="D139" s="2"/>
      <c r="E139" s="6"/>
      <c r="F139" s="6"/>
      <c r="I139" s="2"/>
    </row>
    <row r="140" spans="3:9">
      <c r="D140" s="2"/>
      <c r="E140" s="6"/>
      <c r="F140" s="6"/>
      <c r="I140" s="2"/>
    </row>
    <row r="141" spans="3:9">
      <c r="D141" s="2"/>
      <c r="E141" s="6"/>
      <c r="F141" s="6"/>
      <c r="I141" s="2"/>
    </row>
    <row r="142" spans="3:9">
      <c r="D142" s="2"/>
      <c r="E142" s="6"/>
      <c r="F142" s="6"/>
      <c r="I142" s="2"/>
    </row>
    <row r="143" spans="3:9">
      <c r="D143" s="2"/>
      <c r="E143" s="6"/>
      <c r="F143" s="6"/>
      <c r="I143" s="2"/>
    </row>
    <row r="144" spans="3:9">
      <c r="D144" s="2"/>
      <c r="E144" s="6"/>
      <c r="F144" s="6"/>
      <c r="I144" s="2"/>
    </row>
    <row r="145" spans="3:9">
      <c r="D145" s="2"/>
      <c r="E145" s="6"/>
      <c r="F145" s="6"/>
      <c r="I145" s="2"/>
    </row>
    <row r="146" spans="3:9">
      <c r="D146" s="2"/>
      <c r="E146" s="6"/>
      <c r="F146" s="6"/>
      <c r="I146" s="2"/>
    </row>
    <row r="147" spans="3:9">
      <c r="D147" s="2"/>
      <c r="E147" s="6"/>
      <c r="F147" s="6"/>
      <c r="I147" s="2"/>
    </row>
    <row r="148" spans="3:9">
      <c r="D148" s="2"/>
      <c r="E148" s="6"/>
      <c r="F148" s="6"/>
      <c r="I148" s="2"/>
    </row>
    <row r="149" spans="3:9" ht="15.75">
      <c r="C149" s="9"/>
      <c r="D149" s="2"/>
      <c r="E149" s="6"/>
      <c r="F149" s="6"/>
      <c r="I149" s="2"/>
    </row>
    <row r="150" spans="3:9">
      <c r="D150" s="2"/>
      <c r="E150" s="6"/>
      <c r="F150" s="6"/>
      <c r="I150" s="2"/>
    </row>
    <row r="151" spans="3:9">
      <c r="D151" s="2"/>
      <c r="E151" s="6"/>
      <c r="F151" s="6"/>
      <c r="I151" s="2"/>
    </row>
    <row r="152" spans="3:9">
      <c r="D152" s="2"/>
      <c r="E152" s="6"/>
      <c r="F152" s="6"/>
      <c r="I152" s="2"/>
    </row>
    <row r="153" spans="3:9">
      <c r="D153" s="2"/>
      <c r="E153" s="6"/>
      <c r="F153" s="6"/>
      <c r="I153" s="2"/>
    </row>
    <row r="154" spans="3:9">
      <c r="D154" s="2"/>
      <c r="E154" s="6"/>
      <c r="F154" s="6"/>
      <c r="I154" s="2"/>
    </row>
    <row r="155" spans="3:9">
      <c r="D155" s="2"/>
      <c r="E155" s="6"/>
      <c r="F155" s="6"/>
      <c r="I155" s="2"/>
    </row>
    <row r="156" spans="3:9" ht="15.75">
      <c r="C156" s="9"/>
      <c r="D156" s="2"/>
      <c r="E156" s="6"/>
      <c r="F156" s="6"/>
      <c r="I156" s="2"/>
    </row>
    <row r="157" spans="3:9">
      <c r="D157" s="2"/>
      <c r="E157" s="6"/>
      <c r="F157" s="6"/>
      <c r="I157" s="2"/>
    </row>
    <row r="158" spans="3:9">
      <c r="D158" s="2"/>
      <c r="E158" s="6"/>
      <c r="F158" s="6"/>
      <c r="I158" s="2"/>
    </row>
    <row r="159" spans="3:9">
      <c r="D159" s="2"/>
      <c r="E159" s="6"/>
      <c r="F159" s="6"/>
      <c r="I159" s="2"/>
    </row>
    <row r="160" spans="3:9">
      <c r="D160" s="2"/>
      <c r="E160" s="6"/>
      <c r="F160" s="6"/>
      <c r="I160" s="2"/>
    </row>
    <row r="161" spans="3:9">
      <c r="D161" s="2"/>
      <c r="E161" s="6"/>
      <c r="F161" s="6"/>
      <c r="I161" s="2"/>
    </row>
    <row r="162" spans="3:9">
      <c r="D162" s="2"/>
      <c r="E162" s="6"/>
      <c r="F162" s="6"/>
      <c r="I162" s="2"/>
    </row>
    <row r="163" spans="3:9">
      <c r="D163" s="2"/>
      <c r="E163" s="6"/>
      <c r="F163" s="6"/>
      <c r="I163" s="2"/>
    </row>
    <row r="164" spans="3:9">
      <c r="D164" s="2"/>
      <c r="E164" s="6"/>
      <c r="F164" s="6"/>
      <c r="I164" s="2"/>
    </row>
    <row r="165" spans="3:9">
      <c r="D165" s="2"/>
      <c r="E165" s="6"/>
      <c r="F165" s="6"/>
      <c r="I165" s="2"/>
    </row>
    <row r="166" spans="3:9" ht="18">
      <c r="C166" s="10"/>
      <c r="D166" s="2"/>
      <c r="E166" s="6"/>
      <c r="F166" s="6"/>
      <c r="I166" s="2"/>
    </row>
    <row r="167" spans="3:9">
      <c r="D167" s="2"/>
      <c r="E167" s="6"/>
      <c r="F167" s="6"/>
      <c r="I167" s="2"/>
    </row>
    <row r="168" spans="3:9">
      <c r="D168" s="2"/>
      <c r="E168" s="6"/>
      <c r="F168" s="6"/>
      <c r="I168" s="2"/>
    </row>
    <row r="169" spans="3:9">
      <c r="D169" s="2"/>
      <c r="E169" s="6"/>
      <c r="F169" s="6"/>
      <c r="I169" s="2"/>
    </row>
    <row r="170" spans="3:9">
      <c r="D170" s="2"/>
      <c r="E170" s="6"/>
      <c r="F170" s="6"/>
      <c r="I170" s="2"/>
    </row>
    <row r="171" spans="3:9">
      <c r="D171" s="2"/>
      <c r="E171" s="6"/>
      <c r="F171" s="6"/>
      <c r="I171" s="2"/>
    </row>
    <row r="172" spans="3:9">
      <c r="D172" s="2"/>
      <c r="E172" s="6"/>
      <c r="F172" s="6"/>
      <c r="I172" s="2"/>
    </row>
    <row r="173" spans="3:9">
      <c r="D173" s="2"/>
      <c r="E173" s="6"/>
      <c r="F173" s="6"/>
      <c r="I173" s="2"/>
    </row>
    <row r="174" spans="3:9" ht="20.25">
      <c r="C174" s="7"/>
      <c r="D174" s="2"/>
      <c r="E174" s="6"/>
      <c r="F174" s="6"/>
      <c r="I174" s="2"/>
    </row>
    <row r="175" spans="3:9">
      <c r="D175" s="2"/>
      <c r="E175" s="6"/>
      <c r="F175" s="6"/>
      <c r="I175" s="2"/>
    </row>
    <row r="176" spans="3:9">
      <c r="D176" s="2"/>
      <c r="E176" s="6"/>
      <c r="F176" s="6"/>
      <c r="I176" s="2"/>
    </row>
    <row r="177" spans="3:9">
      <c r="C177" s="11"/>
      <c r="D177" s="2"/>
      <c r="E177" s="6"/>
      <c r="F177" s="6"/>
      <c r="I177" s="2"/>
    </row>
    <row r="178" spans="3:9">
      <c r="D178" s="2"/>
      <c r="E178" s="6"/>
      <c r="F178" s="6"/>
      <c r="I178" s="2"/>
    </row>
    <row r="179" spans="3:9">
      <c r="D179" s="2"/>
      <c r="E179" s="6"/>
      <c r="F179" s="6"/>
      <c r="I179" s="2"/>
    </row>
    <row r="180" spans="3:9">
      <c r="D180" s="2"/>
      <c r="E180" s="6"/>
      <c r="F180" s="6"/>
      <c r="I180" s="2"/>
    </row>
    <row r="181" spans="3:9">
      <c r="C181" s="11"/>
      <c r="D181" s="2"/>
      <c r="E181" s="6"/>
      <c r="F181" s="6"/>
      <c r="I181" s="2"/>
    </row>
    <row r="182" spans="3:9">
      <c r="C182" s="11"/>
      <c r="D182" s="2"/>
      <c r="E182" s="6"/>
      <c r="F182" s="6"/>
      <c r="I182" s="2"/>
    </row>
    <row r="183" spans="3:9">
      <c r="D183" s="2"/>
      <c r="E183" s="6"/>
      <c r="F183" s="6"/>
      <c r="I183" s="2"/>
    </row>
    <row r="184" spans="3:9">
      <c r="C184" s="11"/>
      <c r="D184" s="2"/>
      <c r="E184" s="6"/>
      <c r="F184" s="6"/>
      <c r="I184" s="2"/>
    </row>
    <row r="185" spans="3:9">
      <c r="C185" s="11"/>
      <c r="D185" s="2"/>
      <c r="E185" s="6"/>
      <c r="F185" s="6"/>
      <c r="I185" s="2"/>
    </row>
    <row r="186" spans="3:9">
      <c r="D186" s="2"/>
      <c r="E186" s="6"/>
      <c r="F186" s="6"/>
      <c r="I186" s="2"/>
    </row>
    <row r="187" spans="3:9">
      <c r="C187" s="11"/>
      <c r="D187" s="2"/>
      <c r="E187" s="6"/>
      <c r="F187" s="6"/>
      <c r="I187" s="2"/>
    </row>
    <row r="188" spans="3:9">
      <c r="C188" s="11"/>
      <c r="D188" s="2"/>
      <c r="E188" s="6"/>
      <c r="F188" s="6"/>
      <c r="I188" s="2"/>
    </row>
    <row r="189" spans="3:9">
      <c r="C189" s="11"/>
      <c r="D189" s="2"/>
      <c r="E189" s="6"/>
      <c r="F189" s="6"/>
      <c r="I189" s="2"/>
    </row>
    <row r="190" spans="3:9">
      <c r="C190" s="11"/>
      <c r="D190" s="2"/>
      <c r="E190" s="6"/>
      <c r="F190" s="6"/>
      <c r="I190" s="2"/>
    </row>
    <row r="191" spans="3:9">
      <c r="C191" s="11"/>
      <c r="D191" s="2"/>
      <c r="E191" s="6"/>
      <c r="F191" s="6"/>
      <c r="I191" s="2"/>
    </row>
    <row r="192" spans="3:9" ht="20.25">
      <c r="C192" s="7"/>
      <c r="D192" s="2"/>
      <c r="E192" s="6"/>
      <c r="F192" s="6"/>
      <c r="I192" s="2"/>
    </row>
    <row r="193" spans="3:9">
      <c r="D193" s="2"/>
      <c r="E193" s="6"/>
      <c r="F193" s="6"/>
      <c r="I193" s="2"/>
    </row>
    <row r="194" spans="3:9">
      <c r="D194" s="2"/>
      <c r="E194" s="6"/>
      <c r="F194" s="6"/>
      <c r="I194" s="2"/>
    </row>
    <row r="195" spans="3:9" ht="18">
      <c r="C195" s="8"/>
      <c r="D195" s="2"/>
      <c r="E195" s="6"/>
      <c r="F195" s="6"/>
      <c r="I195" s="2"/>
    </row>
    <row r="196" spans="3:9">
      <c r="D196" s="2"/>
      <c r="I196" s="2"/>
    </row>
    <row r="197" spans="3:9">
      <c r="D197" s="2"/>
      <c r="I197" s="2"/>
    </row>
    <row r="198" spans="3:9">
      <c r="D198" s="2"/>
      <c r="I198" s="2"/>
    </row>
    <row r="199" spans="3:9">
      <c r="D199" s="2"/>
      <c r="I199" s="2"/>
    </row>
    <row r="200" spans="3:9">
      <c r="D200" s="2"/>
      <c r="I200" s="2"/>
    </row>
    <row r="201" spans="3:9">
      <c r="D201" s="2"/>
      <c r="I201" s="2"/>
    </row>
    <row r="202" spans="3:9">
      <c r="D202" s="2"/>
      <c r="I202" s="2"/>
    </row>
    <row r="203" spans="3:9">
      <c r="D203" s="2"/>
      <c r="I203" s="2"/>
    </row>
    <row r="204" spans="3:9">
      <c r="D204" s="2"/>
      <c r="I204" s="2"/>
    </row>
    <row r="205" spans="3:9">
      <c r="D205" s="2"/>
      <c r="I205" s="2"/>
    </row>
    <row r="206" spans="3:9">
      <c r="D206" s="2"/>
      <c r="I206" s="2"/>
    </row>
    <row r="207" spans="3:9">
      <c r="D207" s="2"/>
      <c r="I207" s="2"/>
    </row>
    <row r="208" spans="3:9">
      <c r="D208" s="2"/>
      <c r="I208" s="2"/>
    </row>
    <row r="209" spans="4:9">
      <c r="D209" s="2"/>
      <c r="I209" s="2"/>
    </row>
    <row r="210" spans="4:9">
      <c r="D210" s="2"/>
      <c r="I210" s="2"/>
    </row>
    <row r="211" spans="4:9">
      <c r="D211" s="2"/>
      <c r="I211" s="2"/>
    </row>
    <row r="212" spans="4:9">
      <c r="D212" s="2"/>
      <c r="I212" s="2"/>
    </row>
    <row r="213" spans="4:9">
      <c r="D213" s="2"/>
      <c r="I213" s="2"/>
    </row>
    <row r="214" spans="4:9">
      <c r="D214" s="2"/>
      <c r="I214" s="2"/>
    </row>
    <row r="215" spans="4:9">
      <c r="D215" s="2"/>
      <c r="I215" s="2"/>
    </row>
    <row r="216" spans="4:9">
      <c r="D216" s="2"/>
      <c r="I216" s="2"/>
    </row>
    <row r="217" spans="4:9">
      <c r="D217" s="2"/>
      <c r="I217" s="2"/>
    </row>
    <row r="218" spans="4:9">
      <c r="D218" s="2"/>
      <c r="I218" s="2"/>
    </row>
    <row r="219" spans="4:9">
      <c r="D219" s="2"/>
      <c r="I219" s="2"/>
    </row>
    <row r="220" spans="4:9">
      <c r="D220" s="2"/>
      <c r="I220" s="2"/>
    </row>
    <row r="221" spans="4:9">
      <c r="D221" s="2"/>
      <c r="I221" s="2"/>
    </row>
    <row r="222" spans="4:9">
      <c r="D222" s="2"/>
      <c r="I222" s="2"/>
    </row>
    <row r="223" spans="4:9">
      <c r="D223" s="2"/>
      <c r="I223" s="2"/>
    </row>
    <row r="224" spans="4:9">
      <c r="D224" s="2"/>
      <c r="I224" s="2"/>
    </row>
    <row r="225" spans="4:9">
      <c r="D225" s="2"/>
      <c r="I225" s="2"/>
    </row>
    <row r="226" spans="4:9">
      <c r="D226" s="2"/>
      <c r="I226" s="2"/>
    </row>
    <row r="227" spans="4:9">
      <c r="D227" s="2"/>
      <c r="I227" s="2"/>
    </row>
    <row r="228" spans="4:9">
      <c r="D228" s="2"/>
      <c r="I228" s="2"/>
    </row>
    <row r="229" spans="4:9">
      <c r="D229" s="2"/>
      <c r="I229" s="2"/>
    </row>
    <row r="230" spans="4:9">
      <c r="D230" s="2"/>
      <c r="I230" s="2"/>
    </row>
    <row r="231" spans="4:9">
      <c r="D231" s="2"/>
      <c r="I231" s="2"/>
    </row>
    <row r="232" spans="4:9">
      <c r="D232" s="2"/>
      <c r="I232" s="2"/>
    </row>
    <row r="233" spans="4:9">
      <c r="D233" s="2"/>
      <c r="I233" s="2"/>
    </row>
    <row r="234" spans="4:9">
      <c r="D234" s="2"/>
      <c r="I234" s="2"/>
    </row>
    <row r="235" spans="4:9">
      <c r="D235" s="2"/>
      <c r="I235" s="2"/>
    </row>
    <row r="236" spans="4:9">
      <c r="D236" s="2"/>
      <c r="I236" s="2"/>
    </row>
    <row r="237" spans="4:9">
      <c r="D237" s="2"/>
      <c r="I237" s="2"/>
    </row>
    <row r="238" spans="4:9">
      <c r="D238" s="2"/>
      <c r="I238" s="2"/>
    </row>
    <row r="239" spans="4:9">
      <c r="D239" s="2"/>
      <c r="I239" s="2"/>
    </row>
    <row r="240" spans="4:9">
      <c r="D240" s="2"/>
      <c r="I240" s="2"/>
    </row>
    <row r="241" spans="4:9">
      <c r="D241" s="2"/>
      <c r="I241" s="2"/>
    </row>
    <row r="242" spans="4:9">
      <c r="D242" s="2"/>
      <c r="I242" s="2"/>
    </row>
    <row r="243" spans="4:9">
      <c r="D243" s="2"/>
      <c r="I243" s="2"/>
    </row>
    <row r="244" spans="4:9">
      <c r="D244" s="2"/>
      <c r="I244" s="2"/>
    </row>
    <row r="245" spans="4:9">
      <c r="D245" s="2"/>
      <c r="I245" s="2"/>
    </row>
    <row r="246" spans="4:9">
      <c r="D246" s="2"/>
    </row>
    <row r="247" spans="4:9">
      <c r="D247" s="2"/>
    </row>
    <row r="248" spans="4:9">
      <c r="D248" s="2"/>
    </row>
    <row r="249" spans="4:9">
      <c r="D249" s="2"/>
    </row>
    <row r="250" spans="4:9">
      <c r="D250" s="2"/>
    </row>
    <row r="251" spans="4:9">
      <c r="D251" s="2"/>
    </row>
    <row r="252" spans="4:9">
      <c r="D252" s="2"/>
    </row>
    <row r="253" spans="4:9">
      <c r="D253" s="2"/>
    </row>
    <row r="254" spans="4:9">
      <c r="D254" s="2"/>
    </row>
  </sheetData>
  <autoFilter ref="A1:M202" xr:uid="{DB837559-656A-1441-87D8-565123012DF8}"/>
  <phoneticPr fontId="14" type="noConversion"/>
  <conditionalFormatting sqref="C1:C1048576">
    <cfRule type="expression" dxfId="0" priority="1">
      <formula>D1="Heading"</formula>
    </cfRule>
  </conditionalFormatting>
  <pageMargins left="0.75" right="0.75" top="1" bottom="1" header="0.5" footer="0.5"/>
  <pageSetup orientation="portrait" r:id="rId1"/>
  <headerFooter alignWithMargins="0"/>
  <extLst>
    <ext xmlns:x14="http://schemas.microsoft.com/office/spreadsheetml/2009/9/main" uri="{CCE6A557-97BC-4b89-ADB6-D9C93CAAB3DF}">
      <x14:dataValidations xmlns:xm="http://schemas.microsoft.com/office/excel/2006/main" count="7">
        <x14:dataValidation type="list" allowBlank="1" showInputMessage="1" showErrorMessage="1" xr:uid="{EA8F2EB1-0189-D343-AA84-9D48F6AF1C2A}">
          <x14:formula1>
            <xm:f>'Common Data'!$A$3:$A$13</xm:f>
          </x14:formula1>
          <xm:sqref>D2:D245</xm:sqref>
        </x14:dataValidation>
        <x14:dataValidation type="list" allowBlank="1" showInputMessage="1" showErrorMessage="1" xr:uid="{2D59F1D0-5F68-F848-A9BA-3EAAF2D30445}">
          <x14:formula1>
            <xm:f>'Common Data'!$D$3:$D$7</xm:f>
          </x14:formula1>
          <xm:sqref>I2:I245</xm:sqref>
        </x14:dataValidation>
        <x14:dataValidation type="list" allowBlank="1" showInputMessage="1" showErrorMessage="1" xr:uid="{22ED14D8-9432-C646-BC80-76A080302D47}">
          <x14:formula1>
            <xm:f>'Common Data'!$C$3:$C$10</xm:f>
          </x14:formula1>
          <xm:sqref>J129:J245</xm:sqref>
        </x14:dataValidation>
        <x14:dataValidation type="list" allowBlank="1" showInputMessage="1" showErrorMessage="1" xr:uid="{2D5CE843-2A16-5846-A8B4-111748A2DFAB}">
          <x14:formula1>
            <xm:f>'Common Data'!$B$3:$B$7</xm:f>
          </x14:formula1>
          <xm:sqref>M129:M245 M71:M107 M4:M69</xm:sqref>
        </x14:dataValidation>
        <x14:dataValidation type="list" allowBlank="1" showInputMessage="1" showErrorMessage="1" xr:uid="{7080C58C-024A-2A48-B655-20B9CEB96D5C}">
          <x14:formula1>
            <xm:f>'Common Data'!$C$3:$C$12</xm:f>
          </x14:formula1>
          <xm:sqref>J2:J128</xm:sqref>
        </x14:dataValidation>
        <x14:dataValidation type="list" allowBlank="1" showInputMessage="1" showErrorMessage="1" xr:uid="{3C762513-DDD1-7541-B016-69D2E6BF83AC}">
          <x14:formula1>
            <xm:f>'Common Data'!$E$3:$E$13</xm:f>
          </x14:formula1>
          <xm:sqref>K2:L128</xm:sqref>
        </x14:dataValidation>
        <x14:dataValidation type="list" allowBlank="1" showInputMessage="1" showErrorMessage="1" xr:uid="{E26F5DD5-6265-AE4E-ACA0-BF3C91825975}">
          <x14:formula1>
            <xm:f>'Common Data'!$B$3:$B$8</xm:f>
          </x14:formula1>
          <xm:sqref>M108:M128 M70 M2:M3</xm:sqref>
        </x14:dataValidation>
      </x14:dataValidations>
    </ext>
  </extLs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9928D3-3840-AE4F-AAE1-54275E02008D}">
  <dimension ref="A2:J13"/>
  <sheetViews>
    <sheetView zoomScale="156" workbookViewId="0">
      <selection activeCell="F10" sqref="F10"/>
    </sheetView>
  </sheetViews>
  <sheetFormatPr defaultColWidth="10.7109375" defaultRowHeight="12.75"/>
  <cols>
    <col min="1" max="2" width="28.140625" style="1" customWidth="1"/>
    <col min="3" max="3" width="12.7109375" style="1" customWidth="1"/>
    <col min="4" max="4" width="16.42578125" style="1" customWidth="1"/>
    <col min="5" max="5" width="17.28515625" style="1" customWidth="1"/>
    <col min="6" max="6" width="21.42578125" style="1" customWidth="1"/>
    <col min="7" max="7" width="27.42578125" style="1" customWidth="1"/>
    <col min="8" max="8" width="27.42578125" style="2" customWidth="1"/>
    <col min="9" max="9" width="16.28515625" style="2" customWidth="1"/>
    <col min="10" max="10" width="15.140625" style="1" bestFit="1" customWidth="1"/>
    <col min="11" max="16384" width="10.7109375" style="1"/>
  </cols>
  <sheetData>
    <row r="2" spans="1:10" ht="25.5">
      <c r="A2" s="4" t="s">
        <v>33</v>
      </c>
      <c r="B2" s="4" t="s">
        <v>97</v>
      </c>
      <c r="C2" s="4" t="s">
        <v>41</v>
      </c>
      <c r="D2" s="4" t="s">
        <v>39</v>
      </c>
      <c r="E2" s="4" t="s">
        <v>294</v>
      </c>
      <c r="F2" s="3" t="s">
        <v>295</v>
      </c>
      <c r="G2" s="3" t="s">
        <v>296</v>
      </c>
      <c r="H2" s="3" t="s">
        <v>297</v>
      </c>
      <c r="I2" s="3" t="s">
        <v>298</v>
      </c>
      <c r="J2" s="4" t="s">
        <v>299</v>
      </c>
    </row>
    <row r="3" spans="1:10">
      <c r="A3" s="1" t="s">
        <v>62</v>
      </c>
      <c r="B3" s="1" t="s">
        <v>105</v>
      </c>
      <c r="C3" s="1" t="s">
        <v>300</v>
      </c>
      <c r="D3" s="1" t="s">
        <v>301</v>
      </c>
      <c r="E3" s="1" t="s">
        <v>302</v>
      </c>
      <c r="J3" s="1" t="s">
        <v>303</v>
      </c>
    </row>
    <row r="4" spans="1:10">
      <c r="A4" s="1" t="s">
        <v>64</v>
      </c>
      <c r="B4" s="1" t="s">
        <v>109</v>
      </c>
      <c r="C4" s="1" t="s">
        <v>304</v>
      </c>
      <c r="D4" s="1" t="s">
        <v>305</v>
      </c>
      <c r="E4" s="1" t="s">
        <v>306</v>
      </c>
      <c r="J4" s="1" t="s">
        <v>307</v>
      </c>
    </row>
    <row r="5" spans="1:10">
      <c r="A5" s="1" t="s">
        <v>66</v>
      </c>
      <c r="B5" s="1" t="s">
        <v>119</v>
      </c>
      <c r="C5" s="1" t="s">
        <v>308</v>
      </c>
      <c r="D5" s="1" t="s">
        <v>309</v>
      </c>
      <c r="E5" s="1" t="s">
        <v>310</v>
      </c>
      <c r="J5" s="1" t="s">
        <v>311</v>
      </c>
    </row>
    <row r="6" spans="1:10">
      <c r="A6" s="1" t="s">
        <v>68</v>
      </c>
      <c r="B6" s="1" t="s">
        <v>122</v>
      </c>
      <c r="C6" s="1" t="s">
        <v>312</v>
      </c>
      <c r="D6" s="1" t="s">
        <v>313</v>
      </c>
      <c r="E6" s="1" t="s">
        <v>314</v>
      </c>
    </row>
    <row r="7" spans="1:10">
      <c r="A7" s="1" t="s">
        <v>70</v>
      </c>
      <c r="B7" s="1" t="s">
        <v>315</v>
      </c>
      <c r="C7" s="1" t="s">
        <v>316</v>
      </c>
      <c r="D7" s="1" t="s">
        <v>317</v>
      </c>
      <c r="E7" s="1" t="s">
        <v>318</v>
      </c>
    </row>
    <row r="8" spans="1:10">
      <c r="A8" s="1" t="s">
        <v>72</v>
      </c>
      <c r="B8" s="1" t="s">
        <v>99</v>
      </c>
      <c r="C8" s="1" t="s">
        <v>319</v>
      </c>
      <c r="E8" s="1" t="s">
        <v>320</v>
      </c>
    </row>
    <row r="9" spans="1:10">
      <c r="A9" s="1" t="s">
        <v>74</v>
      </c>
      <c r="C9" s="1" t="s">
        <v>321</v>
      </c>
      <c r="E9" s="1" t="s">
        <v>322</v>
      </c>
    </row>
    <row r="10" spans="1:10">
      <c r="A10" s="1" t="s">
        <v>76</v>
      </c>
      <c r="C10" s="1" t="s">
        <v>323</v>
      </c>
      <c r="E10" s="1" t="s">
        <v>324</v>
      </c>
    </row>
    <row r="11" spans="1:10">
      <c r="A11" s="1" t="s">
        <v>78</v>
      </c>
      <c r="C11" s="1" t="s">
        <v>325</v>
      </c>
      <c r="E11" s="1" t="s">
        <v>326</v>
      </c>
    </row>
    <row r="12" spans="1:10">
      <c r="A12" s="1" t="s">
        <v>80</v>
      </c>
      <c r="C12" s="1" t="s">
        <v>327</v>
      </c>
      <c r="E12" s="1" t="s">
        <v>328</v>
      </c>
    </row>
    <row r="13" spans="1:10">
      <c r="A13" s="1" t="s">
        <v>82</v>
      </c>
      <c r="E13" s="1" t="s">
        <v>82</v>
      </c>
    </row>
  </sheetData>
  <pageMargins left="0.7" right="0.7" top="0.75" bottom="0.75" header="0.3" footer="0.3"/>
  <pageSetup paperSize="8" orientation="portrait" horizontalDpi="0" verticalDpi="0"/>
  <legacy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0A1D67-9968-4914-B53C-78EF48C1D987}">
  <dimension ref="A1:M254"/>
  <sheetViews>
    <sheetView topLeftCell="H65" zoomScale="90" zoomScaleNormal="90" workbookViewId="0">
      <selection activeCell="H65" sqref="A1:M66"/>
    </sheetView>
  </sheetViews>
  <sheetFormatPr defaultColWidth="8.7109375" defaultRowHeight="12.75"/>
  <cols>
    <col min="1" max="1" width="40.28515625" style="2" customWidth="1"/>
    <col min="2" max="2" width="9.140625" style="2" customWidth="1"/>
    <col min="3" max="3" width="46.140625" style="2" customWidth="1"/>
    <col min="4" max="4" width="21.85546875" style="1" customWidth="1"/>
    <col min="5" max="5" width="31" style="1" customWidth="1"/>
    <col min="6" max="6" width="15" style="1" bestFit="1" customWidth="1"/>
    <col min="7" max="7" width="35.85546875" style="1" customWidth="1"/>
    <col min="8" max="8" width="77.5703125" style="1" customWidth="1"/>
    <col min="9" max="9" width="24.28515625" style="1" customWidth="1"/>
    <col min="10" max="10" width="27.42578125" style="2" customWidth="1"/>
    <col min="11" max="13" width="19.42578125" style="2" customWidth="1"/>
    <col min="14" max="14" width="34" style="2" customWidth="1"/>
    <col min="15" max="16384" width="8.7109375" style="2"/>
  </cols>
  <sheetData>
    <row r="1" spans="1:13" ht="17.25" customHeight="1">
      <c r="A1" s="3" t="s">
        <v>29</v>
      </c>
      <c r="B1" s="3" t="s">
        <v>93</v>
      </c>
      <c r="C1" s="4" t="s">
        <v>31</v>
      </c>
      <c r="D1" s="4" t="s">
        <v>33</v>
      </c>
      <c r="E1" s="4" t="s">
        <v>35</v>
      </c>
      <c r="F1" s="4" t="s">
        <v>94</v>
      </c>
      <c r="G1" s="4" t="s">
        <v>37</v>
      </c>
      <c r="H1" s="4" t="s">
        <v>95</v>
      </c>
      <c r="I1" s="4" t="s">
        <v>39</v>
      </c>
      <c r="J1" s="3" t="s">
        <v>41</v>
      </c>
      <c r="K1" s="3" t="s">
        <v>57</v>
      </c>
      <c r="L1" s="3" t="s">
        <v>96</v>
      </c>
      <c r="M1" s="3" t="s">
        <v>97</v>
      </c>
    </row>
    <row r="2" spans="1:13">
      <c r="A2" s="2" t="str" cm="1">
        <f t="array" ref="A2:A66">_xlfn.LET(
  _xlpm.data,'EA-Fortescue_ReqsImport'!A2:A1000,
  _xlpm.filtered,_xlfn._xlws.FILTER(_xlpm.data,_xlpm.data&lt;&gt;""),
  _xlpm.first11,LEFT(_xlpm.filtered,11),
  _xlpm.last4,VALUE(RIGHT(_xlpm.first11,4)),
  _xlfn.SORTBY(_xlpm.first11,_xlpm.last4,1)
)</f>
        <v>GSP-RH-0001</v>
      </c>
      <c r="B2" s="2">
        <v>1</v>
      </c>
      <c r="C2" s="71" t="str" cm="1">
        <f t="array" ref="C2">IF(_xlfn.XLOOKUP($A2,LEFT('EA-Fortescue_ReqsImport'!$A:$A,11),'EA-Fortescue_ReqsImport'!R:R)&lt;1,"",_xlfn.XLOOKUP($A2,LEFT('EA-Fortescue_ReqsImport'!$A:$A,11),'EA-Fortescue_ReqsImport'!R:R))</f>
        <v>Green Systems Interface Requirements</v>
      </c>
      <c r="D2" s="71" t="str" cm="1">
        <f t="array" ref="D2">IF(_xlfn.XLOOKUP($A2,LEFT('EA-Fortescue_ReqsImport'!$A:$A,11),'EA-Fortescue_ReqsImport'!S:S)&lt;1,"",_xlfn.XLOOKUP($A2,LEFT('EA-Fortescue_ReqsImport'!$A:$A,11),'EA-Fortescue_ReqsImport'!S:S))</f>
        <v>Heading</v>
      </c>
      <c r="E2" s="71" t="str" cm="1">
        <f t="array" ref="E2">IF(_xlfn.XLOOKUP($A2,LEFT('EA-Fortescue_ReqsImport'!$A:$A,11),'EA-Fortescue_ReqsImport'!T:T)&lt;1,"",_xlfn.XLOOKUP($A2,LEFT('EA-Fortescue_ReqsImport'!$A:$A,11),'EA-Fortescue_ReqsImport'!T:T))</f>
        <v/>
      </c>
      <c r="F2" s="71" t="str" cm="1">
        <f t="array" ref="F2">IF(_xlfn.XLOOKUP($A2,LEFT('EA-Fortescue_ReqsImport'!$A:$A,11),'EA-Fortescue_ReqsImport'!U:U)&lt;1,"",_xlfn.XLOOKUP($A2,LEFT('EA-Fortescue_ReqsImport'!$A:$A,11),'EA-Fortescue_ReqsImport'!U:U))</f>
        <v/>
      </c>
      <c r="G2" s="71" t="str" cm="1">
        <f t="array" ref="G2">IF(_xlfn.XLOOKUP($A2,LEFT('EA-Fortescue_ReqsImport'!$A:$A,11),'EA-Fortescue_ReqsImport'!V:V)&lt;1,"",_xlfn.XLOOKUP($A2,LEFT('EA-Fortescue_ReqsImport'!$A:$A,11),'EA-Fortescue_ReqsImport'!V:V))</f>
        <v/>
      </c>
      <c r="H2" s="71" t="str" cm="1">
        <f t="array" ref="H2">IF(_xlfn.XLOOKUP($A2,LEFT('EA-Fortescue_ReqsImport'!$A:$A,11),'EA-Fortescue_ReqsImport'!W:W)&lt;1,"",_xlfn.XLOOKUP($A2,LEFT('EA-Fortescue_ReqsImport'!$A:$A,11),'EA-Fortescue_ReqsImport'!W:W))</f>
        <v/>
      </c>
      <c r="I2" s="2"/>
      <c r="M2" s="71" t="str" cm="1">
        <f t="array" ref="M2">IF(_xlfn.XLOOKUP($A2,LEFT('EA-Fortescue_ReqsImport'!$A:$A,11),'EA-Fortescue_ReqsImport'!X:X)&lt;1,"N/A",_xlfn.XLOOKUP($A2,LEFT('EA-Fortescue_ReqsImport'!$A:$A,11),'EA-Fortescue_ReqsImport'!X:X))</f>
        <v>N/A</v>
      </c>
    </row>
    <row r="3" spans="1:13">
      <c r="A3" s="2" t="str">
        <v>GSP-RH-0002</v>
      </c>
      <c r="B3" s="2">
        <v>2</v>
      </c>
      <c r="C3" s="71" t="str" cm="1">
        <f t="array" ref="C3">IF(_xlfn.XLOOKUP($A3,LEFT('EA-Fortescue_ReqsImport'!$A:$A,11),'EA-Fortescue_ReqsImport'!R:R)&lt;1,"",_xlfn.XLOOKUP($A3,LEFT('EA-Fortescue_ReqsImport'!$A:$A,11),'EA-Fortescue_ReqsImport'!R:R))</f>
        <v>Delphi Interface Requirements</v>
      </c>
      <c r="D3" s="71" t="str" cm="1">
        <f t="array" ref="D3">IF(_xlfn.XLOOKUP($A3,LEFT('EA-Fortescue_ReqsImport'!$A:$A,11),'EA-Fortescue_ReqsImport'!S:S)&lt;1,"",_xlfn.XLOOKUP($A3,LEFT('EA-Fortescue_ReqsImport'!$A:$A,11),'EA-Fortescue_ReqsImport'!S:S))</f>
        <v>Heading</v>
      </c>
      <c r="E3" s="71" t="str" cm="1">
        <f t="array" ref="E3">IF(_xlfn.XLOOKUP($A3,LEFT('EA-Fortescue_ReqsImport'!$A:$A,11),'EA-Fortescue_ReqsImport'!T:T)&lt;1,"",_xlfn.XLOOKUP($A3,LEFT('EA-Fortescue_ReqsImport'!$A:$A,11),'EA-Fortescue_ReqsImport'!T:T))</f>
        <v/>
      </c>
      <c r="F3" s="71" t="str" cm="1">
        <f t="array" ref="F3">IF(_xlfn.XLOOKUP($A3,LEFT('EA-Fortescue_ReqsImport'!$A:$A,11),'EA-Fortescue_ReqsImport'!U:U)&lt;1,"",_xlfn.XLOOKUP($A3,LEFT('EA-Fortescue_ReqsImport'!$A:$A,11),'EA-Fortescue_ReqsImport'!U:U))</f>
        <v/>
      </c>
      <c r="G3" s="71" t="str" cm="1">
        <f t="array" ref="G3">IF(_xlfn.XLOOKUP($A3,LEFT('EA-Fortescue_ReqsImport'!$A:$A,11),'EA-Fortescue_ReqsImport'!V:V)&lt;1,"",_xlfn.XLOOKUP($A3,LEFT('EA-Fortescue_ReqsImport'!$A:$A,11),'EA-Fortescue_ReqsImport'!V:V))</f>
        <v/>
      </c>
      <c r="H3" s="71" t="str" cm="1">
        <f t="array" ref="H3">IF(_xlfn.XLOOKUP($A3,LEFT('EA-Fortescue_ReqsImport'!$A:$A,11),'EA-Fortescue_ReqsImport'!W:W)&lt;1,"",_xlfn.XLOOKUP($A3,LEFT('EA-Fortescue_ReqsImport'!$A:$A,11),'EA-Fortescue_ReqsImport'!W:W))</f>
        <v/>
      </c>
      <c r="I3" s="2"/>
      <c r="M3" s="71" t="str" cm="1">
        <f t="array" ref="M3">IF(_xlfn.XLOOKUP($A3,LEFT('EA-Fortescue_ReqsImport'!$A:$A,11),'EA-Fortescue_ReqsImport'!X:X)&lt;1,"N/A",_xlfn.XLOOKUP($A3,LEFT('EA-Fortescue_ReqsImport'!$A:$A,11),'EA-Fortescue_ReqsImport'!X:X))</f>
        <v>N/A</v>
      </c>
    </row>
    <row r="4" spans="1:13" ht="165.75">
      <c r="A4" s="2" t="str">
        <v>GSP-IR-0003</v>
      </c>
      <c r="C4" s="71" t="str" cm="1">
        <f t="array" ref="C4">IF(_xlfn.XLOOKUP($A4,LEFT('EA-Fortescue_ReqsImport'!$A:$A,11),'EA-Fortescue_ReqsImport'!R:R)&lt;1,"",_xlfn.XLOOKUP($A4,LEFT('EA-Fortescue_ReqsImport'!$A:$A,11),'EA-Fortescue_ReqsImport'!R:R))</f>
        <v>The interface shall provide Heavy Mining Equipment (HME) operational and load-profile input data to Delphi at a frequency of 1 Hz (one update per second), with a maximum end-to-end latency of up to 2 seconds, to support fleet simulation and energy feasibility analysis.</v>
      </c>
      <c r="D4" s="71" t="str" cm="1">
        <f t="array" ref="D4">IF(_xlfn.XLOOKUP($A4,LEFT('EA-Fortescue_ReqsImport'!$A:$A,11),'EA-Fortescue_ReqsImport'!S:S)&lt;1,"",_xlfn.XLOOKUP($A4,LEFT('EA-Fortescue_ReqsImport'!$A:$A,11),'EA-Fortescue_ReqsImport'!S:S))</f>
        <v>Interface Requirement</v>
      </c>
      <c r="E4" s="71" t="str" cm="1">
        <f t="array" ref="E4">IF(_xlfn.XLOOKUP($A4,LEFT('EA-Fortescue_ReqsImport'!$A:$A,11),'EA-Fortescue_ReqsImport'!T:T)&lt;1,"",_xlfn.XLOOKUP($A4,LEFT('EA-Fortescue_ReqsImport'!$A:$A,11),'EA-Fortescue_ReqsImport'!T:T))</f>
        <v>Green Systems Interface Register, Interface DGS-I_0023</v>
      </c>
      <c r="F4" s="71" t="str" cm="1">
        <f t="array" ref="F4">IF(_xlfn.XLOOKUP($A4,LEFT('EA-Fortescue_ReqsImport'!$A:$A,11),'EA-Fortescue_ReqsImport'!U:U)&lt;1,"",_xlfn.XLOOKUP($A4,LEFT('EA-Fortescue_ReqsImport'!$A:$A,11),'EA-Fortescue_ReqsImport'!U:U))</f>
        <v>Delphi</v>
      </c>
      <c r="G4" s="71" t="str" cm="1">
        <f t="array" ref="G4">IF(_xlfn.XLOOKUP($A4,LEFT('EA-Fortescue_ReqsImport'!$A:$A,11),'EA-Fortescue_ReqsImport'!V:V)&lt;1,"",_xlfn.XLOOKUP($A4,LEFT('EA-Fortescue_ReqsImport'!$A:$A,11),'EA-Fortescue_ReqsImport'!V:V))</f>
        <v>Feasibility analysis requires timely data; delayed or missing data prevents simulation and energy checks.</v>
      </c>
      <c r="H4" s="71" t="str" cm="1">
        <f t="array" ref="H4">IF(_xlfn.XLOOKUP($A4,LEFT('EA-Fortescue_ReqsImport'!$A:$A,11),'EA-Fortescue_ReqsImport'!W:W)&lt;1,"",_xlfn.XLOOKUP($A4,LEFT('EA-Fortescue_ReqsImport'!$A:$A,11),'EA-Fortescue_ReqsImport'!W:W))</f>
        <v>859DC-1410-001 HaulX|855DC-1541-DEL Delphi_x000D_
Project - Project Interface_x000D_
Technical-Data/Software_x000D_
This interface provides a near-term forecast of fleet energy consumption. This depends on the HaulX forecast horizon, based on a dispatch plan and mine plan. 30-40% of load based on mobile asset energy consumption. Frequency, resolution and horizon need to be determined for truck and excavator fleet on charge. State of charge, estimated time of completion._x000D_
The criticality level is LOW because, although Delphi receives fleet energy forecasts from HaulX to support planning and optimisation, the interface does not affect real-time haulage operations, safety, or production continuity. If the interface fails, Haulage and mine operations continue normally, though forecast accuracy and decision-making may be reduced.</v>
      </c>
      <c r="I4" s="2"/>
      <c r="K4" s="2" t="s">
        <v>104</v>
      </c>
      <c r="M4" s="71" t="str" cm="1">
        <f t="array" ref="M4">IF(_xlfn.XLOOKUP($A4,LEFT('EA-Fortescue_ReqsImport'!$A:$A,11),'EA-Fortescue_ReqsImport'!X:X)&lt;1,"",_xlfn.XLOOKUP($A4,LEFT('EA-Fortescue_ReqsImport'!$A:$A,11),'EA-Fortescue_ReqsImport'!X:X))</f>
        <v>Draft</v>
      </c>
    </row>
    <row r="5" spans="1:13" ht="165.75">
      <c r="A5" s="2" t="str">
        <v>GSP-IR-0004</v>
      </c>
      <c r="C5" s="71" t="str" cm="1">
        <f t="array" ref="C5">IF(_xlfn.XLOOKUP($A5,LEFT('EA-Fortescue_ReqsImport'!$A:$A,11),'EA-Fortescue_ReqsImport'!R:R)&lt;1,"",_xlfn.XLOOKUP($A5,LEFT('EA-Fortescue_ReqsImport'!$A:$A,11),'EA-Fortescue_ReqsImport'!R:R))</f>
        <v>The interface shall ensure completeness of all mandatory Heavy Mining Equipment (HME) load-profile data fields used by the Eclipse simulation engine.</v>
      </c>
      <c r="D5" s="71" t="str" cm="1">
        <f t="array" ref="D5">IF(_xlfn.XLOOKUP($A5,LEFT('EA-Fortescue_ReqsImport'!$A:$A,11),'EA-Fortescue_ReqsImport'!S:S)&lt;1,"",_xlfn.XLOOKUP($A5,LEFT('EA-Fortescue_ReqsImport'!$A:$A,11),'EA-Fortescue_ReqsImport'!S:S))</f>
        <v>Interface Requirement</v>
      </c>
      <c r="E5" s="71" t="str" cm="1">
        <f t="array" ref="E5">IF(_xlfn.XLOOKUP($A5,LEFT('EA-Fortescue_ReqsImport'!$A:$A,11),'EA-Fortescue_ReqsImport'!T:T)&lt;1,"",_xlfn.XLOOKUP($A5,LEFT('EA-Fortescue_ReqsImport'!$A:$A,11),'EA-Fortescue_ReqsImport'!T:T))</f>
        <v>Green Systems Interface Register, Interface DGS-I_0023</v>
      </c>
      <c r="F5" s="71" t="str" cm="1">
        <f t="array" ref="F5">IF(_xlfn.XLOOKUP($A5,LEFT('EA-Fortescue_ReqsImport'!$A:$A,11),'EA-Fortescue_ReqsImport'!U:U)&lt;1,"",_xlfn.XLOOKUP($A5,LEFT('EA-Fortescue_ReqsImport'!$A:$A,11),'EA-Fortescue_ReqsImport'!U:U))</f>
        <v>Delphi</v>
      </c>
      <c r="G5" s="71" t="str" cm="1">
        <f t="array" ref="G5">IF(_xlfn.XLOOKUP($A5,LEFT('EA-Fortescue_ReqsImport'!$A:$A,11),'EA-Fortescue_ReqsImport'!V:V)&lt;1,"",_xlfn.XLOOKUP($A5,LEFT('EA-Fortescue_ReqsImport'!$A:$A,11),'EA-Fortescue_ReqsImport'!V:V))</f>
        <v>Missing fields lead to invalid or failed simulations.</v>
      </c>
      <c r="H5" s="71" t="str" cm="1">
        <f t="array" ref="H5">IF(_xlfn.XLOOKUP($A5,LEFT('EA-Fortescue_ReqsImport'!$A:$A,11),'EA-Fortescue_ReqsImport'!W:W)&lt;1,"",_xlfn.XLOOKUP($A5,LEFT('EA-Fortescue_ReqsImport'!$A:$A,11),'EA-Fortescue_ReqsImport'!W:W))</f>
        <v>859DC-1410-001 HaulX|855DC-1541-DEL Delphi_x000D_
Project - Project Interface_x000D_
Technical-Data/Software_x000D_
This interface provides a near-term forecast of fleet energy consumption. This depends on the HaulX forecast horizon, based on a dispatch plan and mine plan. 30-40% of load based on mobile asset energy consumption. Frequency, resolution and horizon need to be determined for truck and excavator fleet on charge. State of charge, estimated time of completion._x000D_
The criticality level is LOW because, although Delphi receives fleet energy forecasts from HaulX to support planning and optimisation, the interface does not affect real-time haulage operations, safety, or production continuity. If the interface fails, Haulage and mine operations continue normally, though forecast accuracy and decision-making may be reduced.</v>
      </c>
      <c r="I5" s="2"/>
      <c r="M5" s="71" t="str" cm="1">
        <f t="array" ref="M5">IF(_xlfn.XLOOKUP($A5,LEFT('EA-Fortescue_ReqsImport'!$A:$A,11),'EA-Fortescue_ReqsImport'!X:X)&lt;1,"",_xlfn.XLOOKUP($A5,LEFT('EA-Fortescue_ReqsImport'!$A:$A,11),'EA-Fortescue_ReqsImport'!X:X))</f>
        <v>Draft</v>
      </c>
    </row>
    <row r="6" spans="1:13" ht="165.75">
      <c r="A6" s="2" t="str">
        <v>GSP-IR-0005</v>
      </c>
      <c r="C6" s="71" t="str" cm="1">
        <f t="array" ref="C6">IF(_xlfn.XLOOKUP($A6,LEFT('EA-Fortescue_ReqsImport'!$A:$A,11),'EA-Fortescue_ReqsImport'!R:R)&lt;1,"",_xlfn.XLOOKUP($A6,LEFT('EA-Fortescue_ReqsImport'!$A:$A,11),'EA-Fortescue_ReqsImport'!R:R))</f>
        <v>The interface shall ensure integrity of transmitted values, including protection against corruption and preservation of source identifiers and timestamps.</v>
      </c>
      <c r="D6" s="71" t="str" cm="1">
        <f t="array" ref="D6">IF(_xlfn.XLOOKUP($A6,LEFT('EA-Fortescue_ReqsImport'!$A:$A,11),'EA-Fortescue_ReqsImport'!S:S)&lt;1,"",_xlfn.XLOOKUP($A6,LEFT('EA-Fortescue_ReqsImport'!$A:$A,11),'EA-Fortescue_ReqsImport'!S:S))</f>
        <v>Interface Requirement</v>
      </c>
      <c r="E6" s="71" t="str" cm="1">
        <f t="array" ref="E6">IF(_xlfn.XLOOKUP($A6,LEFT('EA-Fortescue_ReqsImport'!$A:$A,11),'EA-Fortescue_ReqsImport'!T:T)&lt;1,"",_xlfn.XLOOKUP($A6,LEFT('EA-Fortescue_ReqsImport'!$A:$A,11),'EA-Fortescue_ReqsImport'!T:T))</f>
        <v>Green Systems Interface Register, Interface DGS-I_0023</v>
      </c>
      <c r="F6" s="71" t="str" cm="1">
        <f t="array" ref="F6">IF(_xlfn.XLOOKUP($A6,LEFT('EA-Fortescue_ReqsImport'!$A:$A,11),'EA-Fortescue_ReqsImport'!U:U)&lt;1,"",_xlfn.XLOOKUP($A6,LEFT('EA-Fortescue_ReqsImport'!$A:$A,11),'EA-Fortescue_ReqsImport'!U:U))</f>
        <v>Delphi</v>
      </c>
      <c r="G6" s="71" t="str" cm="1">
        <f t="array" ref="G6">IF(_xlfn.XLOOKUP($A6,LEFT('EA-Fortescue_ReqsImport'!$A:$A,11),'EA-Fortescue_ReqsImport'!V:V)&lt;1,"",_xlfn.XLOOKUP($A6,LEFT('EA-Fortescue_ReqsImport'!$A:$A,11),'EA-Fortescue_ReqsImport'!V:V))</f>
        <v>Compromised integrity produces incorrect feasibility results and curtailment decisions.</v>
      </c>
      <c r="H6" s="71" t="str" cm="1">
        <f t="array" ref="H6">IF(_xlfn.XLOOKUP($A6,LEFT('EA-Fortescue_ReqsImport'!$A:$A,11),'EA-Fortescue_ReqsImport'!W:W)&lt;1,"",_xlfn.XLOOKUP($A6,LEFT('EA-Fortescue_ReqsImport'!$A:$A,11),'EA-Fortescue_ReqsImport'!W:W))</f>
        <v>859DC-1410-001 HaulX|855DC-1541-DEL Delphi_x000D_
Project - Project Interface_x000D_
Technical-Data/Software_x000D_
This interface provides a near-term forecast of fleet energy consumption. This depends on the HaulX forecast horizon, based on a dispatch plan and mine plan. 30-40% of load based on mobile asset energy consumption. Frequency, resolution and horizon need to be determined for truck and excavator fleet on charge. State of charge, estimated time of completion._x000D_
The criticality level is LOW because, although Delphi receives fleet energy forecasts from HaulX to support planning and optimisation, the interface does not affect real-time haulage operations, safety, or production continuity. If the interface fails, Haulage and mine operations continue normally, though forecast accuracy and decision-making may be reduced.</v>
      </c>
      <c r="I6" s="2"/>
      <c r="M6" s="71" t="str" cm="1">
        <f t="array" ref="M6">IF(_xlfn.XLOOKUP($A6,LEFT('EA-Fortescue_ReqsImport'!$A:$A,11),'EA-Fortescue_ReqsImport'!X:X)&lt;1,"",_xlfn.XLOOKUP($A6,LEFT('EA-Fortescue_ReqsImport'!$A:$A,11),'EA-Fortescue_ReqsImport'!X:X))</f>
        <v>Draft</v>
      </c>
    </row>
    <row r="7" spans="1:13" ht="165.75">
      <c r="A7" s="2" t="str">
        <v>GSP-IR-0006</v>
      </c>
      <c r="C7" s="71" t="str" cm="1">
        <f t="array" ref="C7">IF(_xlfn.XLOOKUP($A7,LEFT('EA-Fortescue_ReqsImport'!$A:$A,11),'EA-Fortescue_ReqsImport'!R:R)&lt;1,"",_xlfn.XLOOKUP($A7,LEFT('EA-Fortescue_ReqsImport'!$A:$A,11),'EA-Fortescue_ReqsImport'!R:R))</f>
        <v>The interface shall provide deterministic error handling and clear notifications when Heavy Mining Equipment (HME) data is missing, delayed, or invalid.</v>
      </c>
      <c r="D7" s="71" t="str" cm="1">
        <f t="array" ref="D7">IF(_xlfn.XLOOKUP($A7,LEFT('EA-Fortescue_ReqsImport'!$A:$A,11),'EA-Fortescue_ReqsImport'!S:S)&lt;1,"",_xlfn.XLOOKUP($A7,LEFT('EA-Fortescue_ReqsImport'!$A:$A,11),'EA-Fortescue_ReqsImport'!S:S))</f>
        <v>Interface Requirement</v>
      </c>
      <c r="E7" s="71" t="str" cm="1">
        <f t="array" ref="E7">IF(_xlfn.XLOOKUP($A7,LEFT('EA-Fortescue_ReqsImport'!$A:$A,11),'EA-Fortescue_ReqsImport'!T:T)&lt;1,"",_xlfn.XLOOKUP($A7,LEFT('EA-Fortescue_ReqsImport'!$A:$A,11),'EA-Fortescue_ReqsImport'!T:T))</f>
        <v>Green Systems Interface Register, Interface DGS-I_0023</v>
      </c>
      <c r="F7" s="71" t="str" cm="1">
        <f t="array" ref="F7">IF(_xlfn.XLOOKUP($A7,LEFT('EA-Fortescue_ReqsImport'!$A:$A,11),'EA-Fortescue_ReqsImport'!U:U)&lt;1,"",_xlfn.XLOOKUP($A7,LEFT('EA-Fortescue_ReqsImport'!$A:$A,11),'EA-Fortescue_ReqsImport'!U:U))</f>
        <v>Delphi</v>
      </c>
      <c r="G7" s="71" t="str" cm="1">
        <f t="array" ref="G7">IF(_xlfn.XLOOKUP($A7,LEFT('EA-Fortescue_ReqsImport'!$A:$A,11),'EA-Fortescue_ReqsImport'!V:V)&lt;1,"",_xlfn.XLOOKUP($A7,LEFT('EA-Fortescue_ReqsImport'!$A:$A,11),'EA-Fortescue_ReqsImport'!V:V))</f>
        <v>Clear fault visibility is required to avoid silent degradation of planning capability.</v>
      </c>
      <c r="H7" s="71" t="str" cm="1">
        <f t="array" ref="H7">IF(_xlfn.XLOOKUP($A7,LEFT('EA-Fortescue_ReqsImport'!$A:$A,11),'EA-Fortescue_ReqsImport'!W:W)&lt;1,"",_xlfn.XLOOKUP($A7,LEFT('EA-Fortescue_ReqsImport'!$A:$A,11),'EA-Fortescue_ReqsImport'!W:W))</f>
        <v>859DC-1410-001 HaulX|855DC-1541-DEL Delphi_x000D_
Project - Project Interface_x000D_
Technical-Data/Software_x000D_
This interface provides a near-term forecast of fleet energy consumption. This depends on the HaulX forecast horizon, based on a dispatch plan and mine plan. 30-40% of load based on mobile asset energy consumption. Frequency, resolution and horizon need to be determined for truck and excavator fleet on charge. State of charge, estimated time of completion._x000D_
The criticality level is LOW because, although Delphi receives fleet energy forecasts from HaulX to support planning and optimisation, the interface does not affect real-time haulage operations, safety, or production continuity. If the interface fails, Haulage and mine operations continue normally, though forecast accuracy and decision-making may be reduced.</v>
      </c>
      <c r="I7" s="2"/>
      <c r="M7" s="71" t="str" cm="1">
        <f t="array" ref="M7">IF(_xlfn.XLOOKUP($A7,LEFT('EA-Fortescue_ReqsImport'!$A:$A,11),'EA-Fortescue_ReqsImport'!X:X)&lt;1,"",_xlfn.XLOOKUP($A7,LEFT('EA-Fortescue_ReqsImport'!$A:$A,11),'EA-Fortescue_ReqsImport'!X:X))</f>
        <v>Draft</v>
      </c>
    </row>
    <row r="8" spans="1:13" ht="153">
      <c r="A8" s="2" t="str">
        <v>GSP-IR-0007</v>
      </c>
      <c r="C8" s="71" t="str" cm="1">
        <f t="array" ref="C8">IF(_xlfn.XLOOKUP($A8,LEFT('EA-Fortescue_ReqsImport'!$A:$A,11),'EA-Fortescue_ReqsImport'!R:R)&lt;1,"",_xlfn.XLOOKUP($A8,LEFT('EA-Fortescue_ReqsImport'!$A:$A,11),'EA-Fortescue_ReqsImport'!R:R))</f>
        <v>The interface shall provide Delphi with continuous access to Snowflake datasets containing historical and actual operational data required for short-term planning.</v>
      </c>
      <c r="D8" s="71" t="str" cm="1">
        <f t="array" ref="D8">IF(_xlfn.XLOOKUP($A8,LEFT('EA-Fortescue_ReqsImport'!$A:$A,11),'EA-Fortescue_ReqsImport'!S:S)&lt;1,"",_xlfn.XLOOKUP($A8,LEFT('EA-Fortescue_ReqsImport'!$A:$A,11),'EA-Fortescue_ReqsImport'!S:S))</f>
        <v>Interface Requirement</v>
      </c>
      <c r="E8" s="71" t="str" cm="1">
        <f t="array" ref="E8">IF(_xlfn.XLOOKUP($A8,LEFT('EA-Fortescue_ReqsImport'!$A:$A,11),'EA-Fortescue_ReqsImport'!T:T)&lt;1,"",_xlfn.XLOOKUP($A8,LEFT('EA-Fortescue_ReqsImport'!$A:$A,11),'EA-Fortescue_ReqsImport'!T:T))</f>
        <v>Green Systems Interface Register, Interface DGS-I_0345</v>
      </c>
      <c r="F8" s="71" t="str" cm="1">
        <f t="array" ref="F8">IF(_xlfn.XLOOKUP($A8,LEFT('EA-Fortescue_ReqsImport'!$A:$A,11),'EA-Fortescue_ReqsImport'!U:U)&lt;1,"",_xlfn.XLOOKUP($A8,LEFT('EA-Fortescue_ReqsImport'!$A:$A,11),'EA-Fortescue_ReqsImport'!U:U))</f>
        <v>Delphi</v>
      </c>
      <c r="G8" s="71" t="str" cm="1">
        <f t="array" ref="G8">IF(_xlfn.XLOOKUP($A8,LEFT('EA-Fortescue_ReqsImport'!$A:$A,11),'EA-Fortescue_ReqsImport'!V:V)&lt;1,"",_xlfn.XLOOKUP($A8,LEFT('EA-Fortescue_ReqsImport'!$A:$A,11),'EA-Fortescue_ReqsImport'!V:V))</f>
        <v>Continuous access to historical and actual data is required to support accurate short-term planning; interruptions or gaps degrade forecast quality and decision-making.</v>
      </c>
      <c r="H8" s="71" t="str" cm="1">
        <f t="array" ref="H8">IF(_xlfn.XLOOKUP($A8,LEFT('EA-Fortescue_ReqsImport'!$A:$A,11),'EA-Fortescue_ReqsImport'!W:W)&lt;1,"",_xlfn.XLOOKUP($A8,LEFT('EA-Fortescue_ReqsImport'!$A:$A,11),'EA-Fortescue_ReqsImport'!W:W))</f>
        <v>005OP-0000-006 Snowflake (General)|855DC-1541-DEL Delphi_x000D_
Project - Project Interface_x000D_
Technical-Data/Software_x000D_
This interface collects general actuals and historical data residing in Snowflake. Snowflake provides a 'time travel' function, which is from 1 day (default) up to a maximum of 90 days._x000D_
This interface is rated HIGH because accurate historical and actual data underpins short-term forecasting, model validation, and operational planning accuracy. Loss or corruption of this data materially degrades forecast reliability, increasing the risk of incorrect generation dispatch, inefficient curtailment decisions, and potential instability in power management. Reliable historical data is essential for maintaining confidence in optimisation and planning outputs.</v>
      </c>
      <c r="I8" s="2"/>
      <c r="M8" s="71" t="str" cm="1">
        <f t="array" ref="M8">IF(_xlfn.XLOOKUP($A8,LEFT('EA-Fortescue_ReqsImport'!$A:$A,11),'EA-Fortescue_ReqsImport'!X:X)&lt;1,"",_xlfn.XLOOKUP($A8,LEFT('EA-Fortescue_ReqsImport'!$A:$A,11),'EA-Fortescue_ReqsImport'!X:X))</f>
        <v>Draft</v>
      </c>
    </row>
    <row r="9" spans="1:13" ht="153">
      <c r="A9" s="2" t="str">
        <v>GSP-IR-0008</v>
      </c>
      <c r="C9" s="71" t="str" cm="1">
        <f t="array" ref="C9">IF(_xlfn.XLOOKUP($A9,LEFT('EA-Fortescue_ReqsImport'!$A:$A,11),'EA-Fortescue_ReqsImport'!R:R)&lt;1,"",_xlfn.XLOOKUP($A9,LEFT('EA-Fortescue_ReqsImport'!$A:$A,11),'EA-Fortescue_ReqsImport'!R:R))</f>
        <v>The interface shall maintain a minimum availability of 99.9% each calendar month, allowing no more than 43.2 minutes of unplanned downtime per month, to ensure planning and forecasting accuracy is not materially degraded</v>
      </c>
      <c r="D9" s="71" t="str" cm="1">
        <f t="array" ref="D9">IF(_xlfn.XLOOKUP($A9,LEFT('EA-Fortescue_ReqsImport'!$A:$A,11),'EA-Fortescue_ReqsImport'!S:S)&lt;1,"",_xlfn.XLOOKUP($A9,LEFT('EA-Fortescue_ReqsImport'!$A:$A,11),'EA-Fortescue_ReqsImport'!S:S))</f>
        <v>Interface Requirement</v>
      </c>
      <c r="E9" s="71" t="str" cm="1">
        <f t="array" ref="E9">IF(_xlfn.XLOOKUP($A9,LEFT('EA-Fortescue_ReqsImport'!$A:$A,11),'EA-Fortescue_ReqsImport'!T:T)&lt;1,"",_xlfn.XLOOKUP($A9,LEFT('EA-Fortescue_ReqsImport'!$A:$A,11),'EA-Fortescue_ReqsImport'!T:T))</f>
        <v>Green Systems Interface Register, Interface DGS-I_0345</v>
      </c>
      <c r="F9" s="71" t="str" cm="1">
        <f t="array" ref="F9">IF(_xlfn.XLOOKUP($A9,LEFT('EA-Fortescue_ReqsImport'!$A:$A,11),'EA-Fortescue_ReqsImport'!U:U)&lt;1,"",_xlfn.XLOOKUP($A9,LEFT('EA-Fortescue_ReqsImport'!$A:$A,11),'EA-Fortescue_ReqsImport'!U:U))</f>
        <v>Delphi</v>
      </c>
      <c r="G9" s="71" t="str" cm="1">
        <f t="array" ref="G9">IF(_xlfn.XLOOKUP($A9,LEFT('EA-Fortescue_ReqsImport'!$A:$A,11),'EA-Fortescue_ReqsImport'!V:V)&lt;1,"",_xlfn.XLOOKUP($A9,LEFT('EA-Fortescue_ReqsImport'!$A:$A,11),'EA-Fortescue_ReqsImport'!V:V))</f>
        <v>Unplanned outages increase the risk of unplanned load curtailment and unsafe conditions.</v>
      </c>
      <c r="H9" s="71" t="str" cm="1">
        <f t="array" ref="H9">IF(_xlfn.XLOOKUP($A9,LEFT('EA-Fortescue_ReqsImport'!$A:$A,11),'EA-Fortescue_ReqsImport'!W:W)&lt;1,"",_xlfn.XLOOKUP($A9,LEFT('EA-Fortescue_ReqsImport'!$A:$A,11),'EA-Fortescue_ReqsImport'!W:W))</f>
        <v>005OP-0000-006 Snowflake (General)|855DC-1541-DEL Delphi_x000D_
Project - Project Interface_x000D_
Technical-Data/Software_x000D_
This interface collects general actuals and historical data residing in Snowflake. Snowflake provides a 'time travel' function, which is from 1 day (default) up to a maximum of 90 days._x000D_
This interface is rated HIGH because accurate historical and actual data underpins short-term forecasting, model validation, and operational planning accuracy. Loss or corruption of this data materially degrades forecast reliability, increasing the risk of incorrect generation dispatch, inefficient curtailment decisions, and potential instability in power management. Reliable historical data is essential for maintaining confidence in optimisation and planning outputs.</v>
      </c>
      <c r="I9" s="2"/>
      <c r="M9" s="71" t="str" cm="1">
        <f t="array" ref="M9">IF(_xlfn.XLOOKUP($A9,LEFT('EA-Fortescue_ReqsImport'!$A:$A,11),'EA-Fortescue_ReqsImport'!X:X)&lt;1,"",_xlfn.XLOOKUP($A9,LEFT('EA-Fortescue_ReqsImport'!$A:$A,11),'EA-Fortescue_ReqsImport'!X:X))</f>
        <v>Draft</v>
      </c>
    </row>
    <row r="10" spans="1:13" ht="153">
      <c r="A10" s="2" t="str">
        <v>GSP-IR-0009</v>
      </c>
      <c r="C10" s="71" t="str" cm="1">
        <f t="array" ref="C10">IF(_xlfn.XLOOKUP($A10,LEFT('EA-Fortescue_ReqsImport'!$A:$A,11),'EA-Fortescue_ReqsImport'!R:R)&lt;1,"",_xlfn.XLOOKUP($A10,LEFT('EA-Fortescue_ReqsImport'!$A:$A,11),'EA-Fortescue_ReqsImport'!R:R))</f>
        <v>The interface shall provide version-controlled historical datasets to support consistent retrospective analysis and model training.</v>
      </c>
      <c r="D10" s="71" t="str" cm="1">
        <f t="array" ref="D10">IF(_xlfn.XLOOKUP($A10,LEFT('EA-Fortescue_ReqsImport'!$A:$A,11),'EA-Fortescue_ReqsImport'!S:S)&lt;1,"",_xlfn.XLOOKUP($A10,LEFT('EA-Fortescue_ReqsImport'!$A:$A,11),'EA-Fortescue_ReqsImport'!S:S))</f>
        <v>Interface Requirement</v>
      </c>
      <c r="E10" s="71" t="str" cm="1">
        <f t="array" ref="E10">IF(_xlfn.XLOOKUP($A10,LEFT('EA-Fortescue_ReqsImport'!$A:$A,11),'EA-Fortescue_ReqsImport'!T:T)&lt;1,"",_xlfn.XLOOKUP($A10,LEFT('EA-Fortescue_ReqsImport'!$A:$A,11),'EA-Fortescue_ReqsImport'!T:T))</f>
        <v>Green Systems Interface Register, Interface DGS-I_0345</v>
      </c>
      <c r="F10" s="71" t="str" cm="1">
        <f t="array" ref="F10">IF(_xlfn.XLOOKUP($A10,LEFT('EA-Fortescue_ReqsImport'!$A:$A,11),'EA-Fortescue_ReqsImport'!U:U)&lt;1,"",_xlfn.XLOOKUP($A10,LEFT('EA-Fortescue_ReqsImport'!$A:$A,11),'EA-Fortescue_ReqsImport'!U:U))</f>
        <v>Delphi</v>
      </c>
      <c r="G10" s="71" t="str" cm="1">
        <f t="array" ref="G10">IF(_xlfn.XLOOKUP($A10,LEFT('EA-Fortescue_ReqsImport'!$A:$A,11),'EA-Fortescue_ReqsImport'!V:V)&lt;1,"",_xlfn.XLOOKUP($A10,LEFT('EA-Fortescue_ReqsImport'!$A:$A,11),'EA-Fortescue_ReqsImport'!V:V))</f>
        <v>Consistent datasets are needed to reproduce and improve forecasting models.</v>
      </c>
      <c r="H10" s="71" t="str" cm="1">
        <f t="array" ref="H10">IF(_xlfn.XLOOKUP($A10,LEFT('EA-Fortescue_ReqsImport'!$A:$A,11),'EA-Fortescue_ReqsImport'!W:W)&lt;1,"",_xlfn.XLOOKUP($A10,LEFT('EA-Fortescue_ReqsImport'!$A:$A,11),'EA-Fortescue_ReqsImport'!W:W))</f>
        <v>005OP-0000-006 Snowflake (General)|855DC-1541-DEL Delphi_x000D_
Project - Project Interface_x000D_
Technical-Data/Software_x000D_
This interface collects general actuals and historical data residing in Snowflake. Snowflake provides a 'time travel' function, which is from 1 day (default) up to a maximum of 90 days._x000D_
This interface is rated HIGH because accurate historical and actual data underpins short-term forecasting, model validation, and operational planning accuracy. Loss or corruption of this data materially degrades forecast reliability, increasing the risk of incorrect generation dispatch, inefficient curtailment decisions, and potential instability in power management. Reliable historical data is essential for maintaining confidence in optimisation and planning outputs.</v>
      </c>
      <c r="I10" s="2"/>
      <c r="M10" s="71" t="str" cm="1">
        <f t="array" ref="M10">IF(_xlfn.XLOOKUP($A10,LEFT('EA-Fortescue_ReqsImport'!$A:$A,11),'EA-Fortescue_ReqsImport'!X:X)&lt;1,"",_xlfn.XLOOKUP($A10,LEFT('EA-Fortescue_ReqsImport'!$A:$A,11),'EA-Fortescue_ReqsImport'!X:X))</f>
        <v>Draft</v>
      </c>
    </row>
    <row r="11" spans="1:13" ht="153">
      <c r="A11" s="2" t="str">
        <v>GSP-IR-0010</v>
      </c>
      <c r="C11" s="71" t="str" cm="1">
        <f t="array" ref="C11">IF(_xlfn.XLOOKUP($A11,LEFT('EA-Fortescue_ReqsImport'!$A:$A,11),'EA-Fortescue_ReqsImport'!R:R)&lt;1,"",_xlfn.XLOOKUP($A11,LEFT('EA-Fortescue_ReqsImport'!$A:$A,11),'EA-Fortescue_ReqsImport'!R:R))</f>
        <v>The interface shall apply data-quality checks, including type, range, and completeness validation, before data is ingested into Delphi.</v>
      </c>
      <c r="D11" s="71" t="str" cm="1">
        <f t="array" ref="D11">IF(_xlfn.XLOOKUP($A11,LEFT('EA-Fortescue_ReqsImport'!$A:$A,11),'EA-Fortescue_ReqsImport'!S:S)&lt;1,"",_xlfn.XLOOKUP($A11,LEFT('EA-Fortescue_ReqsImport'!$A:$A,11),'EA-Fortescue_ReqsImport'!S:S))</f>
        <v>Interface Requirement</v>
      </c>
      <c r="E11" s="71" t="str" cm="1">
        <f t="array" ref="E11">IF(_xlfn.XLOOKUP($A11,LEFT('EA-Fortescue_ReqsImport'!$A:$A,11),'EA-Fortescue_ReqsImport'!T:T)&lt;1,"",_xlfn.XLOOKUP($A11,LEFT('EA-Fortescue_ReqsImport'!$A:$A,11),'EA-Fortescue_ReqsImport'!T:T))</f>
        <v>Green Systems Interface Register, Interface DGS-I_0345</v>
      </c>
      <c r="F11" s="71" t="str" cm="1">
        <f t="array" ref="F11">IF(_xlfn.XLOOKUP($A11,LEFT('EA-Fortescue_ReqsImport'!$A:$A,11),'EA-Fortescue_ReqsImport'!U:U)&lt;1,"",_xlfn.XLOOKUP($A11,LEFT('EA-Fortescue_ReqsImport'!$A:$A,11),'EA-Fortescue_ReqsImport'!U:U))</f>
        <v>Delphi</v>
      </c>
      <c r="G11" s="71" t="str" cm="1">
        <f t="array" ref="G11">IF(_xlfn.XLOOKUP($A11,LEFT('EA-Fortescue_ReqsImport'!$A:$A,11),'EA-Fortescue_ReqsImport'!V:V)&lt;1,"",_xlfn.XLOOKUP($A11,LEFT('EA-Fortescue_ReqsImport'!$A:$A,11),'EA-Fortescue_ReqsImport'!V:V))</f>
        <v>Low-quality data can drive unsafe or inefficient planning outcomes.</v>
      </c>
      <c r="H11" s="71" t="str" cm="1">
        <f t="array" ref="H11">IF(_xlfn.XLOOKUP($A11,LEFT('EA-Fortescue_ReqsImport'!$A:$A,11),'EA-Fortescue_ReqsImport'!W:W)&lt;1,"",_xlfn.XLOOKUP($A11,LEFT('EA-Fortescue_ReqsImport'!$A:$A,11),'EA-Fortescue_ReqsImport'!W:W))</f>
        <v>005OP-0000-006 Snowflake (General)|855DC-1541-DEL Delphi_x000D_
Project - Project Interface_x000D_
Technical-Data/Software_x000D_
This interface collects general actuals and historical data residing in Snowflake. Snowflake provides a 'time travel' function, which is from 1 day (default) up to a maximum of 90 days._x000D_
This interface is rated HIGH because accurate historical and actual data underpins short-term forecasting, model validation, and operational planning accuracy. Loss or corruption of this data materially degrades forecast reliability, increasing the risk of incorrect generation dispatch, inefficient curtailment decisions, and potential instability in power management. Reliable historical data is essential for maintaining confidence in optimisation and planning outputs.</v>
      </c>
      <c r="I11" s="2"/>
      <c r="M11" s="71" t="str" cm="1">
        <f t="array" ref="M11">IF(_xlfn.XLOOKUP($A11,LEFT('EA-Fortescue_ReqsImport'!$A:$A,11),'EA-Fortescue_ReqsImport'!X:X)&lt;1,"",_xlfn.XLOOKUP($A11,LEFT('EA-Fortescue_ReqsImport'!$A:$A,11),'EA-Fortescue_ReqsImport'!X:X))</f>
        <v>Draft</v>
      </c>
    </row>
    <row r="12" spans="1:13" ht="140.25">
      <c r="A12" s="2" t="str">
        <v>GSP-IR-0011</v>
      </c>
      <c r="C12" s="71" t="str" cm="1">
        <f t="array" ref="C12">IF(_xlfn.XLOOKUP($A12,LEFT('EA-Fortescue_ReqsImport'!$A:$A,11),'EA-Fortescue_ReqsImport'!R:R)&lt;1,"",_xlfn.XLOOKUP($A12,LEFT('EA-Fortescue_ReqsImport'!$A:$A,11),'EA-Fortescue_ReqsImport'!R:R))</f>
        <v>The interface shall supply real-time operational electrical load data from Ignition SCADA to Delphi for plan-versus-actual calculations.</v>
      </c>
      <c r="D12" s="71" t="str" cm="1">
        <f t="array" ref="D12">IF(_xlfn.XLOOKUP($A12,LEFT('EA-Fortescue_ReqsImport'!$A:$A,11),'EA-Fortescue_ReqsImport'!S:S)&lt;1,"",_xlfn.XLOOKUP($A12,LEFT('EA-Fortescue_ReqsImport'!$A:$A,11),'EA-Fortescue_ReqsImport'!S:S))</f>
        <v>Interface Requirement</v>
      </c>
      <c r="E12" s="71" t="str" cm="1">
        <f t="array" ref="E12">IF(_xlfn.XLOOKUP($A12,LEFT('EA-Fortescue_ReqsImport'!$A:$A,11),'EA-Fortescue_ReqsImport'!T:T)&lt;1,"",_xlfn.XLOOKUP($A12,LEFT('EA-Fortescue_ReqsImport'!$A:$A,11),'EA-Fortescue_ReqsImport'!T:T))</f>
        <v>Green Systems Interface Register, Interface DGS-I_0344</v>
      </c>
      <c r="F12" s="71" t="str" cm="1">
        <f t="array" ref="F12">IF(_xlfn.XLOOKUP($A12,LEFT('EA-Fortescue_ReqsImport'!$A:$A,11),'EA-Fortescue_ReqsImport'!U:U)&lt;1,"",_xlfn.XLOOKUP($A12,LEFT('EA-Fortescue_ReqsImport'!$A:$A,11),'EA-Fortescue_ReqsImport'!U:U))</f>
        <v>Delphi</v>
      </c>
      <c r="G12" s="71" t="str" cm="1">
        <f t="array" ref="G12">IF(_xlfn.XLOOKUP($A12,LEFT('EA-Fortescue_ReqsImport'!$A:$A,11),'EA-Fortescue_ReqsImport'!V:V)&lt;1,"",_xlfn.XLOOKUP($A12,LEFT('EA-Fortescue_ReqsImport'!$A:$A,11),'EA-Fortescue_ReqsImport'!V:V))</f>
        <v>Plan-versus-actual comparison requires current load measurements.</v>
      </c>
      <c r="H12" s="71" t="str" cm="1">
        <f t="array" ref="H12">IF(_xlfn.XLOOKUP($A12,LEFT('EA-Fortescue_ReqsImport'!$A:$A,11),'EA-Fortescue_ReqsImport'!W:W)&lt;1,"",_xlfn.XLOOKUP($A12,LEFT('EA-Fortescue_ReqsImport'!$A:$A,11),'EA-Fortescue_ReqsImport'!W:W))</f>
        <v>005OP-0000-017 Ignition|855DC-1541-DEL Delphi_x000D_
Project - Project Interface_x000D_
Technical-Data/Software_x000D_
This interface supplies operational data for ground-truth load for plan/forecast vs. actual load calculations._x000D_
This interface is rated HIGH because it provides the authoritative operational load data required to maintain an accurate view of total system demand. Loss, delay, or corruption of this data undermines the integrity of load calculations and forecasting models, increasing the risk of overload conditions, incorrect dispatch or curtailment decisions, and potential safety incidents. Reliable ground-truth data is essential for maintaining power system stability and operational assurance.</v>
      </c>
      <c r="I12" s="2"/>
      <c r="M12" s="71" t="str" cm="1">
        <f t="array" ref="M12">IF(_xlfn.XLOOKUP($A12,LEFT('EA-Fortescue_ReqsImport'!$A:$A,11),'EA-Fortescue_ReqsImport'!X:X)&lt;1,"",_xlfn.XLOOKUP($A12,LEFT('EA-Fortescue_ReqsImport'!$A:$A,11),'EA-Fortescue_ReqsImport'!X:X))</f>
        <v>Draft</v>
      </c>
    </row>
    <row r="13" spans="1:13" ht="140.25">
      <c r="A13" s="2" t="str">
        <v>GSP-IR-0012</v>
      </c>
      <c r="C13" s="71" t="str" cm="1">
        <f t="array" ref="C13">IF(_xlfn.XLOOKUP($A13,LEFT('EA-Fortescue_ReqsImport'!$A:$A,11),'EA-Fortescue_ReqsImport'!R:R)&lt;1,"",_xlfn.XLOOKUP($A13,LEFT('EA-Fortescue_ReqsImport'!$A:$A,11),'EA-Fortescue_ReqsImport'!R:R))</f>
        <v>The interface shall ensure that SCADA load-data latency does not exceed 2 seconds end-to-end, measured from data capture to availability in the consuming system, to meet the operational threshold required for safe real-time decision-making.</v>
      </c>
      <c r="D13" s="71" t="str" cm="1">
        <f t="array" ref="D13">IF(_xlfn.XLOOKUP($A13,LEFT('EA-Fortescue_ReqsImport'!$A:$A,11),'EA-Fortescue_ReqsImport'!S:S)&lt;1,"",_xlfn.XLOOKUP($A13,LEFT('EA-Fortescue_ReqsImport'!$A:$A,11),'EA-Fortescue_ReqsImport'!S:S))</f>
        <v>Interface Requirement</v>
      </c>
      <c r="E13" s="71" t="str" cm="1">
        <f t="array" ref="E13">IF(_xlfn.XLOOKUP($A13,LEFT('EA-Fortescue_ReqsImport'!$A:$A,11),'EA-Fortescue_ReqsImport'!T:T)&lt;1,"",_xlfn.XLOOKUP($A13,LEFT('EA-Fortescue_ReqsImport'!$A:$A,11),'EA-Fortescue_ReqsImport'!T:T))</f>
        <v>Green Systems Interface Register, Interface DGS-I_0344</v>
      </c>
      <c r="F13" s="71" t="str" cm="1">
        <f t="array" ref="F13">IF(_xlfn.XLOOKUP($A13,LEFT('EA-Fortescue_ReqsImport'!$A:$A,11),'EA-Fortescue_ReqsImport'!U:U)&lt;1,"",_xlfn.XLOOKUP($A13,LEFT('EA-Fortescue_ReqsImport'!$A:$A,11),'EA-Fortescue_ReqsImport'!U:U))</f>
        <v>Delphi</v>
      </c>
      <c r="G13" s="71" t="str" cm="1">
        <f t="array" ref="G13">IF(_xlfn.XLOOKUP($A13,LEFT('EA-Fortescue_ReqsImport'!$A:$A,11),'EA-Fortescue_ReqsImport'!V:V)&lt;1,"",_xlfn.XLOOKUP($A13,LEFT('EA-Fortescue_ReqsImport'!$A:$A,11),'EA-Fortescue_ReqsImport'!V:V))</f>
        <v>Excessive latency undermines safe curtailment and control decisions.</v>
      </c>
      <c r="H13" s="71" t="str" cm="1">
        <f t="array" ref="H13">IF(_xlfn.XLOOKUP($A13,LEFT('EA-Fortescue_ReqsImport'!$A:$A,11),'EA-Fortescue_ReqsImport'!W:W)&lt;1,"",_xlfn.XLOOKUP($A13,LEFT('EA-Fortescue_ReqsImport'!$A:$A,11),'EA-Fortescue_ReqsImport'!W:W))</f>
        <v>005OP-0000-017 Ignition|855DC-1541-DEL Delphi_x000D_
Project - Project Interface_x000D_
Technical-Data/Software_x000D_
This interface supplies operational data for ground-truth load for plan/forecast vs. actual load calculations._x000D_
This interface is rated HIGH because it provides the authoritative operational load data required to maintain an accurate view of total system demand. Loss, delay, or corruption of this data undermines the integrity of load calculations and forecasting models, increasing the risk of overload conditions, incorrect dispatch or curtailment decisions, and potential safety incidents. Reliable ground-truth data is essential for maintaining power system stability and operational assurance.</v>
      </c>
      <c r="I13" s="2"/>
      <c r="M13" s="71" t="str" cm="1">
        <f t="array" ref="M13">IF(_xlfn.XLOOKUP($A13,LEFT('EA-Fortescue_ReqsImport'!$A:$A,11),'EA-Fortescue_ReqsImport'!X:X)&lt;1,"",_xlfn.XLOOKUP($A13,LEFT('EA-Fortescue_ReqsImport'!$A:$A,11),'EA-Fortescue_ReqsImport'!X:X))</f>
        <v>Draft</v>
      </c>
    </row>
    <row r="14" spans="1:13" ht="140.25">
      <c r="A14" s="2" t="str">
        <v>GSP-IR-0013</v>
      </c>
      <c r="C14" s="71" t="str" cm="1">
        <f t="array" ref="C14">IF(_xlfn.XLOOKUP($A14,LEFT('EA-Fortescue_ReqsImport'!$A:$A,11),'EA-Fortescue_ReqsImport'!R:R)&lt;1,"",_xlfn.XLOOKUP($A14,LEFT('EA-Fortescue_ReqsImport'!$A:$A,11),'EA-Fortescue_ReqsImport'!R:R))</f>
        <v>The interface shall detect and flag anomalous SCADA load data patterns, including flatlines, spikes, and gaps.</v>
      </c>
      <c r="D14" s="71" t="str" cm="1">
        <f t="array" ref="D14">IF(_xlfn.XLOOKUP($A14,LEFT('EA-Fortescue_ReqsImport'!$A:$A,11),'EA-Fortescue_ReqsImport'!S:S)&lt;1,"",_xlfn.XLOOKUP($A14,LEFT('EA-Fortescue_ReqsImport'!$A:$A,11),'EA-Fortescue_ReqsImport'!S:S))</f>
        <v>Interface Requirement</v>
      </c>
      <c r="E14" s="71" t="str" cm="1">
        <f t="array" ref="E14">IF(_xlfn.XLOOKUP($A14,LEFT('EA-Fortescue_ReqsImport'!$A:$A,11),'EA-Fortescue_ReqsImport'!T:T)&lt;1,"",_xlfn.XLOOKUP($A14,LEFT('EA-Fortescue_ReqsImport'!$A:$A,11),'EA-Fortescue_ReqsImport'!T:T))</f>
        <v>Green Systems Interface Register, Interface DGS-I_0344</v>
      </c>
      <c r="F14" s="71" t="str" cm="1">
        <f t="array" ref="F14">IF(_xlfn.XLOOKUP($A14,LEFT('EA-Fortescue_ReqsImport'!$A:$A,11),'EA-Fortescue_ReqsImport'!U:U)&lt;1,"",_xlfn.XLOOKUP($A14,LEFT('EA-Fortescue_ReqsImport'!$A:$A,11),'EA-Fortescue_ReqsImport'!U:U))</f>
        <v>Delphi</v>
      </c>
      <c r="G14" s="71" t="str" cm="1">
        <f t="array" ref="G14">IF(_xlfn.XLOOKUP($A14,LEFT('EA-Fortescue_ReqsImport'!$A:$A,11),'EA-Fortescue_ReqsImport'!V:V)&lt;1,"",_xlfn.XLOOKUP($A14,LEFT('EA-Fortescue_ReqsImport'!$A:$A,11),'EA-Fortescue_ReqsImport'!V:V))</f>
        <v>Anomaly detection reduces the risk of acting on erroneous load information.</v>
      </c>
      <c r="H14" s="71" t="str" cm="1">
        <f t="array" ref="H14">IF(_xlfn.XLOOKUP($A14,LEFT('EA-Fortescue_ReqsImport'!$A:$A,11),'EA-Fortescue_ReqsImport'!W:W)&lt;1,"",_xlfn.XLOOKUP($A14,LEFT('EA-Fortescue_ReqsImport'!$A:$A,11),'EA-Fortescue_ReqsImport'!W:W))</f>
        <v>005OP-0000-017 Ignition|855DC-1541-DEL Delphi_x000D_
Project - Project Interface_x000D_
Technical-Data/Software_x000D_
This interface supplies operational data for ground-truth load for plan/forecast vs. actual load calculations._x000D_
This interface is rated HIGH because it provides the authoritative operational load data required to maintain an accurate view of total system demand. Loss, delay, or corruption of this data undermines the integrity of load calculations and forecasting models, increasing the risk of overload conditions, incorrect dispatch or curtailment decisions, and potential safety incidents. Reliable ground-truth data is essential for maintaining power system stability and operational assurance.</v>
      </c>
      <c r="I14" s="2"/>
      <c r="M14" s="71" t="str" cm="1">
        <f t="array" ref="M14">IF(_xlfn.XLOOKUP($A14,LEFT('EA-Fortescue_ReqsImport'!$A:$A,11),'EA-Fortescue_ReqsImport'!X:X)&lt;1,"",_xlfn.XLOOKUP($A14,LEFT('EA-Fortescue_ReqsImport'!$A:$A,11),'EA-Fortescue_ReqsImport'!X:X))</f>
        <v>Draft</v>
      </c>
    </row>
    <row r="15" spans="1:13" ht="140.25">
      <c r="A15" s="2" t="str">
        <v>GSP-IR-0014</v>
      </c>
      <c r="C15" s="71" t="str" cm="1">
        <f t="array" ref="C15">IF(_xlfn.XLOOKUP($A15,LEFT('EA-Fortescue_ReqsImport'!$A:$A,11),'EA-Fortescue_ReqsImport'!R:R)&lt;1,"",_xlfn.XLOOKUP($A15,LEFT('EA-Fortescue_ReqsImport'!$A:$A,11),'EA-Fortescue_ReqsImport'!R:R))</f>
        <v>The interface shall include metadata, such as timestamps and source identifiers, to support audit and post-event analysis of load data.</v>
      </c>
      <c r="D15" s="71" t="str" cm="1">
        <f t="array" ref="D15">IF(_xlfn.XLOOKUP($A15,LEFT('EA-Fortescue_ReqsImport'!$A:$A,11),'EA-Fortescue_ReqsImport'!S:S)&lt;1,"",_xlfn.XLOOKUP($A15,LEFT('EA-Fortescue_ReqsImport'!$A:$A,11),'EA-Fortescue_ReqsImport'!S:S))</f>
        <v>Interface Requirement</v>
      </c>
      <c r="E15" s="71" t="str" cm="1">
        <f t="array" ref="E15">IF(_xlfn.XLOOKUP($A15,LEFT('EA-Fortescue_ReqsImport'!$A:$A,11),'EA-Fortescue_ReqsImport'!T:T)&lt;1,"",_xlfn.XLOOKUP($A15,LEFT('EA-Fortescue_ReqsImport'!$A:$A,11),'EA-Fortescue_ReqsImport'!T:T))</f>
        <v>Green Systems Interface Register, Interface DGS-I_0344</v>
      </c>
      <c r="F15" s="71" t="str" cm="1">
        <f t="array" ref="F15">IF(_xlfn.XLOOKUP($A15,LEFT('EA-Fortescue_ReqsImport'!$A:$A,11),'EA-Fortescue_ReqsImport'!U:U)&lt;1,"",_xlfn.XLOOKUP($A15,LEFT('EA-Fortescue_ReqsImport'!$A:$A,11),'EA-Fortescue_ReqsImport'!U:U))</f>
        <v>Delphi</v>
      </c>
      <c r="G15" s="71" t="str" cm="1">
        <f t="array" ref="G15">IF(_xlfn.XLOOKUP($A15,LEFT('EA-Fortescue_ReqsImport'!$A:$A,11),'EA-Fortescue_ReqsImport'!V:V)&lt;1,"",_xlfn.XLOOKUP($A15,LEFT('EA-Fortescue_ReqsImport'!$A:$A,11),'EA-Fortescue_ReqsImport'!V:V))</f>
        <v>Traceability is required for incident investigation and assurance.</v>
      </c>
      <c r="H15" s="71" t="str" cm="1">
        <f t="array" ref="H15">IF(_xlfn.XLOOKUP($A15,LEFT('EA-Fortescue_ReqsImport'!$A:$A,11),'EA-Fortescue_ReqsImport'!W:W)&lt;1,"",_xlfn.XLOOKUP($A15,LEFT('EA-Fortescue_ReqsImport'!$A:$A,11),'EA-Fortescue_ReqsImport'!W:W))</f>
        <v>005OP-0000-017 Ignition|855DC-1541-DEL Delphi_x000D_
Project - Project Interface_x000D_
Technical-Data/Software_x000D_
This interface supplies operational data for ground-truth load for plan/forecast vs. actual load calculations._x000D_
This interface is rated HIGH because it provides the authoritative operational load data required to maintain an accurate view of total system demand. Loss, delay, or corruption of this data undermines the integrity of load calculations and forecasting models, increasing the risk of overload conditions, incorrect dispatch or curtailment decisions, and potential safety incidents. Reliable ground-truth data is essential for maintaining power system stability and operational assurance.</v>
      </c>
      <c r="I15" s="2"/>
      <c r="M15" s="71" t="str" cm="1">
        <f t="array" ref="M15">IF(_xlfn.XLOOKUP($A15,LEFT('EA-Fortescue_ReqsImport'!$A:$A,11),'EA-Fortescue_ReqsImport'!X:X)&lt;1,"",_xlfn.XLOOKUP($A15,LEFT('EA-Fortescue_ReqsImport'!$A:$A,11),'EA-Fortescue_ReqsImport'!X:X))</f>
        <v>Draft</v>
      </c>
    </row>
    <row r="16" spans="1:13" ht="140.25">
      <c r="A16" s="2" t="str">
        <v>GSP-IR-0015</v>
      </c>
      <c r="C16" s="71" t="str" cm="1">
        <f t="array" ref="C16">IF(_xlfn.XLOOKUP($A16,LEFT('EA-Fortescue_ReqsImport'!$A:$A,11),'EA-Fortescue_ReqsImport'!R:R)&lt;1,"",_xlfn.XLOOKUP($A16,LEFT('EA-Fortescue_ReqsImport'!$A:$A,11),'EA-Fortescue_ReqsImport'!R:R))</f>
        <v>The interface shall transmit multi-height wind-speed measurements from field instruments to Delphi at a resolution of 1-minute intervals, with each update containing wind speed and direction at all instrumented heights, to support forecast validation and short-term planning.</v>
      </c>
      <c r="D16" s="71" t="str" cm="1">
        <f t="array" ref="D16">IF(_xlfn.XLOOKUP($A16,LEFT('EA-Fortescue_ReqsImport'!$A:$A,11),'EA-Fortescue_ReqsImport'!S:S)&lt;1,"",_xlfn.XLOOKUP($A16,LEFT('EA-Fortescue_ReqsImport'!$A:$A,11),'EA-Fortescue_ReqsImport'!S:S))</f>
        <v>Interface Requirement</v>
      </c>
      <c r="E16" s="71" t="str" cm="1">
        <f t="array" ref="E16">IF(_xlfn.XLOOKUP($A16,LEFT('EA-Fortescue_ReqsImport'!$A:$A,11),'EA-Fortescue_ReqsImport'!T:T)&lt;1,"",_xlfn.XLOOKUP($A16,LEFT('EA-Fortescue_ReqsImport'!$A:$A,11),'EA-Fortescue_ReqsImport'!T:T))</f>
        <v>Green Systems Interface Register, Interface DGS-I_0331</v>
      </c>
      <c r="F16" s="71" t="str" cm="1">
        <f t="array" ref="F16">IF(_xlfn.XLOOKUP($A16,LEFT('EA-Fortescue_ReqsImport'!$A:$A,11),'EA-Fortescue_ReqsImport'!U:U)&lt;1,"",_xlfn.XLOOKUP($A16,LEFT('EA-Fortescue_ReqsImport'!$A:$A,11),'EA-Fortescue_ReqsImport'!U:U))</f>
        <v>Delphi</v>
      </c>
      <c r="G16" s="71" t="str" cm="1">
        <f t="array" ref="G16">IF(_xlfn.XLOOKUP($A16,LEFT('EA-Fortescue_ReqsImport'!$A:$A,11),'EA-Fortescue_ReqsImport'!V:V)&lt;1,"",_xlfn.XLOOKUP($A16,LEFT('EA-Fortescue_ReqsImport'!$A:$A,11),'EA-Fortescue_ReqsImport'!V:V))</f>
        <v>Multi-height wind data is required to validate and tune forecast models.</v>
      </c>
      <c r="H16" s="71" t="str" cm="1">
        <f t="array" ref="H16">IF(_xlfn.XLOOKUP($A16,LEFT('EA-Fortescue_ReqsImport'!$A:$A,11),'EA-Fortescue_ReqsImport'!W:W)&lt;1,"",_xlfn.XLOOKUP($A16,LEFT('EA-Fortescue_ReqsImport'!$A:$A,11),'EA-Fortescue_ReqsImport'!W:W))</f>
        <v>005OP-0000-005-002 Snowflake (Wind)|855DC-1541-DEL Delphi_x000D_
Project - Subsystem Interface_x000D_
Technical-Data/Software_x000D_
Wind Actuals - Field Measurement Data (Multiple Heights)_x000D_
The purpose of this interface is to allow Delphi to collect wind actuals from on-site field instruments, which provide measured wind speeds at multiple heights. Delphi uses this data to validate wind forecasts, support operational decision-making, and improve modelling accuracy for short-term planning._x000D_
The criticality level is HIGH because accurate multi-height wind measurements are essential for validating forecast models and supporting reliable near-term operational planning. Failure compromises modelling accuracy.</v>
      </c>
      <c r="I16" s="2"/>
      <c r="M16" s="71" t="str" cm="1">
        <f t="array" ref="M16">IF(_xlfn.XLOOKUP($A16,LEFT('EA-Fortescue_ReqsImport'!$A:$A,11),'EA-Fortescue_ReqsImport'!X:X)&lt;1,"",_xlfn.XLOOKUP($A16,LEFT('EA-Fortescue_ReqsImport'!$A:$A,11),'EA-Fortescue_ReqsImport'!X:X))</f>
        <v>Draft</v>
      </c>
    </row>
    <row r="17" spans="1:13" ht="140.25">
      <c r="A17" s="2" t="str">
        <v>GSP-IR-0016</v>
      </c>
      <c r="C17" s="71" t="str" cm="1">
        <f t="array" ref="C17">IF(_xlfn.XLOOKUP($A17,LEFT('EA-Fortescue_ReqsImport'!$A:$A,11),'EA-Fortescue_ReqsImport'!R:R)&lt;1,"",_xlfn.XLOOKUP($A17,LEFT('EA-Fortescue_ReqsImport'!$A:$A,11),'EA-Fortescue_ReqsImport'!R:R))</f>
        <v>The interface shall preserve calibration traceability of wind sensors by including identifiers that link measurements to specific field instruments.</v>
      </c>
      <c r="D17" s="71" t="str" cm="1">
        <f t="array" ref="D17">IF(_xlfn.XLOOKUP($A17,LEFT('EA-Fortescue_ReqsImport'!$A:$A,11),'EA-Fortescue_ReqsImport'!S:S)&lt;1,"",_xlfn.XLOOKUP($A17,LEFT('EA-Fortescue_ReqsImport'!$A:$A,11),'EA-Fortescue_ReqsImport'!S:S))</f>
        <v>Interface Requirement</v>
      </c>
      <c r="E17" s="71" t="str" cm="1">
        <f t="array" ref="E17">IF(_xlfn.XLOOKUP($A17,LEFT('EA-Fortescue_ReqsImport'!$A:$A,11),'EA-Fortescue_ReqsImport'!T:T)&lt;1,"",_xlfn.XLOOKUP($A17,LEFT('EA-Fortescue_ReqsImport'!$A:$A,11),'EA-Fortescue_ReqsImport'!T:T))</f>
        <v>Green Systems Interface Register, Interface DGS-I_0331</v>
      </c>
      <c r="F17" s="71" t="str" cm="1">
        <f t="array" ref="F17">IF(_xlfn.XLOOKUP($A17,LEFT('EA-Fortescue_ReqsImport'!$A:$A,11),'EA-Fortescue_ReqsImport'!U:U)&lt;1,"",_xlfn.XLOOKUP($A17,LEFT('EA-Fortescue_ReqsImport'!$A:$A,11),'EA-Fortescue_ReqsImport'!U:U))</f>
        <v>Delphi</v>
      </c>
      <c r="G17" s="71" t="str" cm="1">
        <f t="array" ref="G17">IF(_xlfn.XLOOKUP($A17,LEFT('EA-Fortescue_ReqsImport'!$A:$A,11),'EA-Fortescue_ReqsImport'!V:V)&lt;1,"",_xlfn.XLOOKUP($A17,LEFT('EA-Fortescue_ReqsImport'!$A:$A,11),'EA-Fortescue_ReqsImport'!V:V))</f>
        <v>Calibration status must be known to assess confidence in measurements.</v>
      </c>
      <c r="H17" s="71" t="str" cm="1">
        <f t="array" ref="H17">IF(_xlfn.XLOOKUP($A17,LEFT('EA-Fortescue_ReqsImport'!$A:$A,11),'EA-Fortescue_ReqsImport'!W:W)&lt;1,"",_xlfn.XLOOKUP($A17,LEFT('EA-Fortescue_ReqsImport'!$A:$A,11),'EA-Fortescue_ReqsImport'!W:W))</f>
        <v>005OP-0000-005-002 Snowflake (Wind)|855DC-1541-DEL Delphi_x000D_
Project - Subsystem Interface_x000D_
Technical-Data/Software_x000D_
Wind Actuals - Field Measurement Data (Multiple Heights)_x000D_
The purpose of this interface is to allow Delphi to collect wind actuals from on-site field instruments, which provide measured wind speeds at multiple heights. Delphi uses this data to validate wind forecasts, support operational decision-making, and improve modelling accuracy for short-term planning._x000D_
The criticality level is HIGH because accurate multi-height wind measurements are essential for validating forecast models and supporting reliable near-term operational planning. Failure compromises modelling accuracy.</v>
      </c>
      <c r="I17" s="2"/>
      <c r="M17" s="71" t="str" cm="1">
        <f t="array" ref="M17">IF(_xlfn.XLOOKUP($A17,LEFT('EA-Fortescue_ReqsImport'!$A:$A,11),'EA-Fortescue_ReqsImport'!X:X)&lt;1,"",_xlfn.XLOOKUP($A17,LEFT('EA-Fortescue_ReqsImport'!$A:$A,11),'EA-Fortescue_ReqsImport'!X:X))</f>
        <v>Draft</v>
      </c>
    </row>
    <row r="18" spans="1:13" ht="140.25">
      <c r="A18" s="2" t="str">
        <v>GSP-IR-0017</v>
      </c>
      <c r="C18" s="71" t="str" cm="1">
        <f t="array" ref="C18">IF(_xlfn.XLOOKUP($A18,LEFT('EA-Fortescue_ReqsImport'!$A:$A,11),'EA-Fortescue_ReqsImport'!R:R)&lt;1,"",_xlfn.XLOOKUP($A18,LEFT('EA-Fortescue_ReqsImport'!$A:$A,11),'EA-Fortescue_ReqsImport'!R:R))</f>
        <v>The interface shall implement a uni-directional data flow from field wind measurement systems to Snowflake and then into Delphi, as defined by the architecture.</v>
      </c>
      <c r="D18" s="71" t="str" cm="1">
        <f t="array" ref="D18">IF(_xlfn.XLOOKUP($A18,LEFT('EA-Fortescue_ReqsImport'!$A:$A,11),'EA-Fortescue_ReqsImport'!S:S)&lt;1,"",_xlfn.XLOOKUP($A18,LEFT('EA-Fortescue_ReqsImport'!$A:$A,11),'EA-Fortescue_ReqsImport'!S:S))</f>
        <v>Interface Requirement</v>
      </c>
      <c r="E18" s="71" t="str" cm="1">
        <f t="array" ref="E18">IF(_xlfn.XLOOKUP($A18,LEFT('EA-Fortescue_ReqsImport'!$A:$A,11),'EA-Fortescue_ReqsImport'!T:T)&lt;1,"",_xlfn.XLOOKUP($A18,LEFT('EA-Fortescue_ReqsImport'!$A:$A,11),'EA-Fortescue_ReqsImport'!T:T))</f>
        <v>Green Systems Interface Register, Interface DGS-I_0331</v>
      </c>
      <c r="F18" s="71" t="str" cm="1">
        <f t="array" ref="F18">IF(_xlfn.XLOOKUP($A18,LEFT('EA-Fortescue_ReqsImport'!$A:$A,11),'EA-Fortescue_ReqsImport'!U:U)&lt;1,"",_xlfn.XLOOKUP($A18,LEFT('EA-Fortescue_ReqsImport'!$A:$A,11),'EA-Fortescue_ReqsImport'!U:U))</f>
        <v>Delphi</v>
      </c>
      <c r="G18" s="71" t="str" cm="1">
        <f t="array" ref="G18">IF(_xlfn.XLOOKUP($A18,LEFT('EA-Fortescue_ReqsImport'!$A:$A,11),'EA-Fortescue_ReqsImport'!V:V)&lt;1,"",_xlfn.XLOOKUP($A18,LEFT('EA-Fortescue_ReqsImport'!$A:$A,11),'EA-Fortescue_ReqsImport'!V:V))</f>
        <v>Uni-directional flow reduces cyber risk and simplifies data lineage.</v>
      </c>
      <c r="H18" s="71" t="str" cm="1">
        <f t="array" ref="H18">IF(_xlfn.XLOOKUP($A18,LEFT('EA-Fortescue_ReqsImport'!$A:$A,11),'EA-Fortescue_ReqsImport'!W:W)&lt;1,"",_xlfn.XLOOKUP($A18,LEFT('EA-Fortescue_ReqsImport'!$A:$A,11),'EA-Fortescue_ReqsImport'!W:W))</f>
        <v>005OP-0000-005-002 Snowflake (Wind)|855DC-1541-DEL Delphi_x000D_
Project - Subsystem Interface_x000D_
Technical-Data/Software_x000D_
Wind Actuals - Field Measurement Data (Multiple Heights)_x000D_
The purpose of this interface is to allow Delphi to collect wind actuals from on-site field instruments, which provide measured wind speeds at multiple heights. Delphi uses this data to validate wind forecasts, support operational decision-making, and improve modelling accuracy for short-term planning._x000D_
The criticality level is HIGH because accurate multi-height wind measurements are essential for validating forecast models and supporting reliable near-term operational planning. Failure compromises modelling accuracy.</v>
      </c>
      <c r="I18" s="2"/>
      <c r="M18" s="71" t="str" cm="1">
        <f t="array" ref="M18">IF(_xlfn.XLOOKUP($A18,LEFT('EA-Fortescue_ReqsImport'!$A:$A,11),'EA-Fortescue_ReqsImport'!X:X)&lt;1,"",_xlfn.XLOOKUP($A18,LEFT('EA-Fortescue_ReqsImport'!$A:$A,11),'EA-Fortescue_ReqsImport'!X:X))</f>
        <v>Draft</v>
      </c>
    </row>
    <row r="19" spans="1:13" ht="140.25">
      <c r="A19" s="2" t="str">
        <v>GSP-IR-0018</v>
      </c>
      <c r="C19" s="71" t="str" cm="1">
        <f t="array" ref="C19">IF(_xlfn.XLOOKUP($A19,LEFT('EA-Fortescue_ReqsImport'!$A:$A,11),'EA-Fortescue_ReqsImport'!R:R)&lt;1,"",_xlfn.XLOOKUP($A19,LEFT('EA-Fortescue_ReqsImport'!$A:$A,11),'EA-Fortescue_ReqsImport'!R:R))</f>
        <v>The interface shall detect and report missing or invalid wind-speed measurements, including out-of-range or non-physical values.</v>
      </c>
      <c r="D19" s="71" t="str" cm="1">
        <f t="array" ref="D19">IF(_xlfn.XLOOKUP($A19,LEFT('EA-Fortescue_ReqsImport'!$A:$A,11),'EA-Fortescue_ReqsImport'!S:S)&lt;1,"",_xlfn.XLOOKUP($A19,LEFT('EA-Fortescue_ReqsImport'!$A:$A,11),'EA-Fortescue_ReqsImport'!S:S))</f>
        <v>Interface Requirement</v>
      </c>
      <c r="E19" s="71" t="str" cm="1">
        <f t="array" ref="E19">IF(_xlfn.XLOOKUP($A19,LEFT('EA-Fortescue_ReqsImport'!$A:$A,11),'EA-Fortescue_ReqsImport'!T:T)&lt;1,"",_xlfn.XLOOKUP($A19,LEFT('EA-Fortescue_ReqsImport'!$A:$A,11),'EA-Fortescue_ReqsImport'!T:T))</f>
        <v>Green Systems Interface Register, Interface DGS-I_0331</v>
      </c>
      <c r="F19" s="71" t="str" cm="1">
        <f t="array" ref="F19">IF(_xlfn.XLOOKUP($A19,LEFT('EA-Fortescue_ReqsImport'!$A:$A,11),'EA-Fortescue_ReqsImport'!U:U)&lt;1,"",_xlfn.XLOOKUP($A19,LEFT('EA-Fortescue_ReqsImport'!$A:$A,11),'EA-Fortescue_ReqsImport'!U:U))</f>
        <v>Delphi</v>
      </c>
      <c r="G19" s="71" t="str" cm="1">
        <f t="array" ref="G19">IF(_xlfn.XLOOKUP($A19,LEFT('EA-Fortescue_ReqsImport'!$A:$A,11),'EA-Fortescue_ReqsImport'!V:V)&lt;1,"",_xlfn.XLOOKUP($A19,LEFT('EA-Fortescue_ReqsImport'!$A:$A,11),'EA-Fortescue_ReqsImport'!V:V))</f>
        <v>Detection of bad data prevents corruption of forecast validation results.</v>
      </c>
      <c r="H19" s="71" t="str" cm="1">
        <f t="array" ref="H19">IF(_xlfn.XLOOKUP($A19,LEFT('EA-Fortescue_ReqsImport'!$A:$A,11),'EA-Fortescue_ReqsImport'!W:W)&lt;1,"",_xlfn.XLOOKUP($A19,LEFT('EA-Fortescue_ReqsImport'!$A:$A,11),'EA-Fortescue_ReqsImport'!W:W))</f>
        <v>005OP-0000-005-002 Snowflake (Wind)|855DC-1541-DEL Delphi_x000D_
Project - Subsystem Interface_x000D_
Technical-Data/Software_x000D_
Wind Actuals - Field Measurement Data (Multiple Heights)_x000D_
The purpose of this interface is to allow Delphi to collect wind actuals from on-site field instruments, which provide measured wind speeds at multiple heights. Delphi uses this data to validate wind forecasts, support operational decision-making, and improve modelling accuracy for short-term planning._x000D_
The criticality level is HIGH because accurate multi-height wind measurements are essential for validating forecast models and supporting reliable near-term operational planning. Failure compromises modelling accuracy.</v>
      </c>
      <c r="I19" s="2"/>
      <c r="M19" s="71" t="str" cm="1">
        <f t="array" ref="M19">IF(_xlfn.XLOOKUP($A19,LEFT('EA-Fortescue_ReqsImport'!$A:$A,11),'EA-Fortescue_ReqsImport'!X:X)&lt;1,"",_xlfn.XLOOKUP($A19,LEFT('EA-Fortescue_ReqsImport'!$A:$A,11),'EA-Fortescue_ReqsImport'!X:X))</f>
        <v>Draft</v>
      </c>
    </row>
    <row r="20" spans="1:13" ht="165.75">
      <c r="A20" s="2" t="str">
        <v>GSP-IR-0019</v>
      </c>
      <c r="C20" s="71" t="str" cm="1">
        <f t="array" ref="C20">IF(_xlfn.XLOOKUP($A20,LEFT('EA-Fortescue_ReqsImport'!$A:$A,11),'EA-Fortescue_ReqsImport'!R:R)&lt;1,"",_xlfn.XLOOKUP($A20,LEFT('EA-Fortescue_ReqsImport'!$A:$A,11),'EA-Fortescue_ReqsImport'!R:R))</f>
        <v>The interface shall ingest real-time Battery Energy Storage System (BESS) state-of-charge (SoC) and related performance metrics from the Atevia Web API into Delphi.</v>
      </c>
      <c r="D20" s="71" t="str" cm="1">
        <f t="array" ref="D20">IF(_xlfn.XLOOKUP($A20,LEFT('EA-Fortescue_ReqsImport'!$A:$A,11),'EA-Fortescue_ReqsImport'!S:S)&lt;1,"",_xlfn.XLOOKUP($A20,LEFT('EA-Fortescue_ReqsImport'!$A:$A,11),'EA-Fortescue_ReqsImport'!S:S))</f>
        <v>Interface Requirement</v>
      </c>
      <c r="E20" s="71" t="str" cm="1">
        <f t="array" ref="E20">IF(_xlfn.XLOOKUP($A20,LEFT('EA-Fortescue_ReqsImport'!$A:$A,11),'EA-Fortescue_ReqsImport'!T:T)&lt;1,"",_xlfn.XLOOKUP($A20,LEFT('EA-Fortescue_ReqsImport'!$A:$A,11),'EA-Fortescue_ReqsImport'!T:T))</f>
        <v>Green Systems Interface Register, Interface DGS-I_0333</v>
      </c>
      <c r="F20" s="71" t="str" cm="1">
        <f t="array" ref="F20">IF(_xlfn.XLOOKUP($A20,LEFT('EA-Fortescue_ReqsImport'!$A:$A,11),'EA-Fortescue_ReqsImport'!U:U)&lt;1,"",_xlfn.XLOOKUP($A20,LEFT('EA-Fortescue_ReqsImport'!$A:$A,11),'EA-Fortescue_ReqsImport'!U:U))</f>
        <v>Delphi</v>
      </c>
      <c r="G20" s="71" t="str" cm="1">
        <f t="array" ref="G20">IF(_xlfn.XLOOKUP($A20,LEFT('EA-Fortescue_ReqsImport'!$A:$A,11),'EA-Fortescue_ReqsImport'!V:V)&lt;1,"",_xlfn.XLOOKUP($A20,LEFT('EA-Fortescue_ReqsImport'!$A:$A,11),'EA-Fortescue_ReqsImport'!V:V))</f>
        <v>Accurate SoC data is essential for safe and efficient BESS operation and dispatch decisions.</v>
      </c>
      <c r="H20" s="71" t="str" cm="1">
        <f t="array" ref="H20">IF(_xlfn.XLOOKUP($A20,LEFT('EA-Fortescue_ReqsImport'!$A:$A,11),'EA-Fortescue_ReqsImport'!W:W)&lt;1,"",_xlfn.XLOOKUP($A20,LEFT('EA-Fortescue_ReqsImport'!$A:$A,11),'EA-Fortescue_ReqsImport'!W:W))</f>
        <v>855DC-1541-DEL Delphi|855DC-1542-009 Elysia_x000D_
Project - Project Interface_x000D_
Technical-Data/Software_x000D_
Elysia BESS -State of Charge Actuals (Atevia Web API)_x000D_
The purpose of this interface is for Delphi to consume the real-time state of charge (SoC) and related battery performance metrics for the BESS via the Atevia Web API used by Energy Operations. These SoC actuals support short-term operational decision-making, including when to charge, discharge, or curtail based on site conditions and energy demand._x000D_
Intermediate Elements: Snowflake (storage and distribution of BESS SoC actuals)._x000D_
The criticality level is HIGH because accurate and timely SoC information is essential for safe and efficient BESS operation, energy optimisation, and maintaining system stability. Failure compromises operational decision-making.</v>
      </c>
      <c r="I20" s="2"/>
      <c r="M20" s="71" t="str" cm="1">
        <f t="array" ref="M20">IF(_xlfn.XLOOKUP($A20,LEFT('EA-Fortescue_ReqsImport'!$A:$A,11),'EA-Fortescue_ReqsImport'!X:X)&lt;1,"",_xlfn.XLOOKUP($A20,LEFT('EA-Fortescue_ReqsImport'!$A:$A,11),'EA-Fortescue_ReqsImport'!X:X))</f>
        <v>Draft</v>
      </c>
    </row>
    <row r="21" spans="1:13" ht="165.75">
      <c r="A21" s="2" t="str">
        <v>GSP-IR-0020</v>
      </c>
      <c r="C21" s="71" t="str" cm="1">
        <f t="array" ref="C21">IF(_xlfn.XLOOKUP($A21,LEFT('EA-Fortescue_ReqsImport'!$A:$A,11),'EA-Fortescue_ReqsImport'!R:R)&lt;1,"",_xlfn.XLOOKUP($A21,LEFT('EA-Fortescue_ReqsImport'!$A:$A,11),'EA-Fortescue_ReqsImport'!R:R))</f>
        <v>The interface shall update State-of-Charge (SoC) data at a refresh rate of 1 Hz (one update per second), with a maximum data latency of ?2 seconds, to support short-term operational decisions for charging, discharging, and curtailment.</v>
      </c>
      <c r="D21" s="71" t="str" cm="1">
        <f t="array" ref="D21">IF(_xlfn.XLOOKUP($A21,LEFT('EA-Fortescue_ReqsImport'!$A:$A,11),'EA-Fortescue_ReqsImport'!S:S)&lt;1,"",_xlfn.XLOOKUP($A21,LEFT('EA-Fortescue_ReqsImport'!$A:$A,11),'EA-Fortescue_ReqsImport'!S:S))</f>
        <v>Interface Requirement</v>
      </c>
      <c r="E21" s="71" t="str" cm="1">
        <f t="array" ref="E21">IF(_xlfn.XLOOKUP($A21,LEFT('EA-Fortescue_ReqsImport'!$A:$A,11),'EA-Fortescue_ReqsImport'!T:T)&lt;1,"",_xlfn.XLOOKUP($A21,LEFT('EA-Fortescue_ReqsImport'!$A:$A,11),'EA-Fortescue_ReqsImport'!T:T))</f>
        <v>Green Systems Interface Register, Interface DGS-I_0333</v>
      </c>
      <c r="F21" s="71" t="str" cm="1">
        <f t="array" ref="F21">IF(_xlfn.XLOOKUP($A21,LEFT('EA-Fortescue_ReqsImport'!$A:$A,11),'EA-Fortescue_ReqsImport'!U:U)&lt;1,"",_xlfn.XLOOKUP($A21,LEFT('EA-Fortescue_ReqsImport'!$A:$A,11),'EA-Fortescue_ReqsImport'!U:U))</f>
        <v>Delphi</v>
      </c>
      <c r="G21" s="71" t="str" cm="1">
        <f t="array" ref="G21">IF(_xlfn.XLOOKUP($A21,LEFT('EA-Fortescue_ReqsImport'!$A:$A,11),'EA-Fortescue_ReqsImport'!V:V)&lt;1,"",_xlfn.XLOOKUP($A21,LEFT('EA-Fortescue_ReqsImport'!$A:$A,11),'EA-Fortescue_ReqsImport'!V:V))</f>
        <v>Delayed SoC information can lead to unsafe or inefficient BESS behaviour.</v>
      </c>
      <c r="H21" s="71" t="str" cm="1">
        <f t="array" ref="H21">IF(_xlfn.XLOOKUP($A21,LEFT('EA-Fortescue_ReqsImport'!$A:$A,11),'EA-Fortescue_ReqsImport'!W:W)&lt;1,"",_xlfn.XLOOKUP($A21,LEFT('EA-Fortescue_ReqsImport'!$A:$A,11),'EA-Fortescue_ReqsImport'!W:W))</f>
        <v>855DC-1541-DEL Delphi|855DC-1542-009 Elysia_x000D_
Project - Project Interface_x000D_
Technical-Data/Software_x000D_
Elysia BESS -State of Charge Actuals (Atevia Web API)_x000D_
The purpose of this interface is for Delphi to consume the real-time state of charge (SoC) and related battery performance metrics for the BESS via the Atevia Web API used by Energy Operations. These SoC actuals support short-term operational decision-making, including when to charge, discharge, or curtail based on site conditions and energy demand._x000D_
Intermediate Elements: Snowflake (storage and distribution of BESS SoC actuals)._x000D_
The criticality level is HIGH because accurate and timely SoC information is essential for safe and efficient BESS operation, energy optimisation, and maintaining system stability. Failure compromises operational decision-making.</v>
      </c>
      <c r="I21" s="2"/>
      <c r="M21" s="71" t="str" cm="1">
        <f t="array" ref="M21">IF(_xlfn.XLOOKUP($A21,LEFT('EA-Fortescue_ReqsImport'!$A:$A,11),'EA-Fortescue_ReqsImport'!X:X)&lt;1,"",_xlfn.XLOOKUP($A21,LEFT('EA-Fortescue_ReqsImport'!$A:$A,11),'EA-Fortescue_ReqsImport'!X:X))</f>
        <v>Draft</v>
      </c>
    </row>
    <row r="22" spans="1:13" ht="165.75">
      <c r="A22" s="2" t="str">
        <v>GSP-IR-0021</v>
      </c>
      <c r="C22" s="71" t="str" cm="1">
        <f t="array" ref="C22">IF(_xlfn.XLOOKUP($A22,LEFT('EA-Fortescue_ReqsImport'!$A:$A,11),'EA-Fortescue_ReqsImport'!R:R)&lt;1,"",_xlfn.XLOOKUP($A22,LEFT('EA-Fortescue_ReqsImport'!$A:$A,11),'EA-Fortescue_ReqsImport'!R:R))</f>
        <v>The interface shall perform data-quality validation on state-of-charge (SoC) and performance metrics, including range checks and rejection of non-physical values.</v>
      </c>
      <c r="D22" s="71" t="str" cm="1">
        <f t="array" ref="D22">IF(_xlfn.XLOOKUP($A22,LEFT('EA-Fortescue_ReqsImport'!$A:$A,11),'EA-Fortescue_ReqsImport'!S:S)&lt;1,"",_xlfn.XLOOKUP($A22,LEFT('EA-Fortescue_ReqsImport'!$A:$A,11),'EA-Fortescue_ReqsImport'!S:S))</f>
        <v>Interface Requirement</v>
      </c>
      <c r="E22" s="71" t="str" cm="1">
        <f t="array" ref="E22">IF(_xlfn.XLOOKUP($A22,LEFT('EA-Fortescue_ReqsImport'!$A:$A,11),'EA-Fortescue_ReqsImport'!T:T)&lt;1,"",_xlfn.XLOOKUP($A22,LEFT('EA-Fortescue_ReqsImport'!$A:$A,11),'EA-Fortescue_ReqsImport'!T:T))</f>
        <v>Green Systems Interface Register, Interface DGS-I_0333</v>
      </c>
      <c r="F22" s="71" t="str" cm="1">
        <f t="array" ref="F22">IF(_xlfn.XLOOKUP($A22,LEFT('EA-Fortescue_ReqsImport'!$A:$A,11),'EA-Fortescue_ReqsImport'!U:U)&lt;1,"",_xlfn.XLOOKUP($A22,LEFT('EA-Fortescue_ReqsImport'!$A:$A,11),'EA-Fortescue_ReqsImport'!U:U))</f>
        <v>Delphi</v>
      </c>
      <c r="G22" s="71" t="str" cm="1">
        <f t="array" ref="G22">IF(_xlfn.XLOOKUP($A22,LEFT('EA-Fortescue_ReqsImport'!$A:$A,11),'EA-Fortescue_ReqsImport'!V:V)&lt;1,"",_xlfn.XLOOKUP($A22,LEFT('EA-Fortescue_ReqsImport'!$A:$A,11),'EA-Fortescue_ReqsImport'!V:V))</f>
        <v>Data-quality controls prevent propagation of erroneous inputs into dispatch algorithms.</v>
      </c>
      <c r="H22" s="71" t="str" cm="1">
        <f t="array" ref="H22">IF(_xlfn.XLOOKUP($A22,LEFT('EA-Fortescue_ReqsImport'!$A:$A,11),'EA-Fortescue_ReqsImport'!W:W)&lt;1,"",_xlfn.XLOOKUP($A22,LEFT('EA-Fortescue_ReqsImport'!$A:$A,11),'EA-Fortescue_ReqsImport'!W:W))</f>
        <v>855DC-1541-DEL Delphi|855DC-1542-009 Elysia_x000D_
Project - Project Interface_x000D_
Technical-Data/Software_x000D_
Elysia BESS -State of Charge Actuals (Atevia Web API)_x000D_
The purpose of this interface is for Delphi to consume the real-time state of charge (SoC) and related battery performance metrics for the BESS via the Atevia Web API used by Energy Operations. These SoC actuals support short-term operational decision-making, including when to charge, discharge, or curtail based on site conditions and energy demand._x000D_
Intermediate Elements: Snowflake (storage and distribution of BESS SoC actuals)._x000D_
The criticality level is HIGH because accurate and timely SoC information is essential for safe and efficient BESS operation, energy optimisation, and maintaining system stability. Failure compromises operational decision-making.</v>
      </c>
      <c r="I22" s="2"/>
      <c r="M22" s="71" t="str" cm="1">
        <f t="array" ref="M22">IF(_xlfn.XLOOKUP($A22,LEFT('EA-Fortescue_ReqsImport'!$A:$A,11),'EA-Fortescue_ReqsImport'!X:X)&lt;1,"",_xlfn.XLOOKUP($A22,LEFT('EA-Fortescue_ReqsImport'!$A:$A,11),'EA-Fortescue_ReqsImport'!X:X))</f>
        <v>Draft</v>
      </c>
    </row>
    <row r="23" spans="1:13" ht="165.75">
      <c r="A23" s="2" t="str">
        <v>GSP-IR-0022</v>
      </c>
      <c r="C23" s="71" t="str" cm="1">
        <f t="array" ref="C23">IF(_xlfn.XLOOKUP($A23,LEFT('EA-Fortescue_ReqsImport'!$A:$A,11),'EA-Fortescue_ReqsImport'!R:R)&lt;1,"",_xlfn.XLOOKUP($A23,LEFT('EA-Fortescue_ReqsImport'!$A:$A,11),'EA-Fortescue_ReqsImport'!R:R))</f>
        <v>The interface shall store  Battery Energy Storage System (BESS) state-of-charge (SoC) actuals in Snowflake for traceability and downstream use by Eclipse and other planning tools.</v>
      </c>
      <c r="D23" s="71" t="str" cm="1">
        <f t="array" ref="D23">IF(_xlfn.XLOOKUP($A23,LEFT('EA-Fortescue_ReqsImport'!$A:$A,11),'EA-Fortescue_ReqsImport'!S:S)&lt;1,"",_xlfn.XLOOKUP($A23,LEFT('EA-Fortescue_ReqsImport'!$A:$A,11),'EA-Fortescue_ReqsImport'!S:S))</f>
        <v>Interface Requirement</v>
      </c>
      <c r="E23" s="71" t="str" cm="1">
        <f t="array" ref="E23">IF(_xlfn.XLOOKUP($A23,LEFT('EA-Fortescue_ReqsImport'!$A:$A,11),'EA-Fortescue_ReqsImport'!T:T)&lt;1,"",_xlfn.XLOOKUP($A23,LEFT('EA-Fortescue_ReqsImport'!$A:$A,11),'EA-Fortescue_ReqsImport'!T:T))</f>
        <v>Green Systems Interface Register, Interface DGS-I_0333</v>
      </c>
      <c r="F23" s="71" t="str" cm="1">
        <f t="array" ref="F23">IF(_xlfn.XLOOKUP($A23,LEFT('EA-Fortescue_ReqsImport'!$A:$A,11),'EA-Fortescue_ReqsImport'!U:U)&lt;1,"",_xlfn.XLOOKUP($A23,LEFT('EA-Fortescue_ReqsImport'!$A:$A,11),'EA-Fortescue_ReqsImport'!U:U))</f>
        <v>Delphi</v>
      </c>
      <c r="G23" s="71" t="str" cm="1">
        <f t="array" ref="G23">IF(_xlfn.XLOOKUP($A23,LEFT('EA-Fortescue_ReqsImport'!$A:$A,11),'EA-Fortescue_ReqsImport'!V:V)&lt;1,"",_xlfn.XLOOKUP($A23,LEFT('EA-Fortescue_ReqsImport'!$A:$A,11),'EA-Fortescue_ReqsImport'!V:V))</f>
        <v>Persistent storage enables historical analysis and cross-system planning.</v>
      </c>
      <c r="H23" s="71" t="str" cm="1">
        <f t="array" ref="H23">IF(_xlfn.XLOOKUP($A23,LEFT('EA-Fortescue_ReqsImport'!$A:$A,11),'EA-Fortescue_ReqsImport'!W:W)&lt;1,"",_xlfn.XLOOKUP($A23,LEFT('EA-Fortescue_ReqsImport'!$A:$A,11),'EA-Fortescue_ReqsImport'!W:W))</f>
        <v>855DC-1541-DEL Delphi|855DC-1542-009 Elysia_x000D_
Project - Project Interface_x000D_
Technical-Data/Software_x000D_
Elysia BESS -State of Charge Actuals (Atevia Web API)_x000D_
The purpose of this interface is for Delphi to consume the real-time state of charge (SoC) and related battery performance metrics for the BESS via the Atevia Web API used by Energy Operations. These SoC actuals support short-term operational decision-making, including when to charge, discharge, or curtail based on site conditions and energy demand._x000D_
Intermediate Elements: Snowflake (storage and distribution of BESS SoC actuals)._x000D_
The criticality level is HIGH because accurate and timely SoC information is essential for safe and efficient BESS operation, energy optimisation, and maintaining system stability. Failure compromises operational decision-making.</v>
      </c>
      <c r="I23" s="2"/>
      <c r="M23" s="71" t="str" cm="1">
        <f t="array" ref="M23">IF(_xlfn.XLOOKUP($A23,LEFT('EA-Fortescue_ReqsImport'!$A:$A,11),'EA-Fortescue_ReqsImport'!X:X)&lt;1,"",_xlfn.XLOOKUP($A23,LEFT('EA-Fortescue_ReqsImport'!$A:$A,11),'EA-Fortescue_ReqsImport'!X:X))</f>
        <v>Draft</v>
      </c>
    </row>
    <row r="24" spans="1:13" ht="153">
      <c r="A24" s="2" t="str">
        <v>GSP-IR-0023</v>
      </c>
      <c r="C24" s="71" t="str" cm="1">
        <f t="array" ref="C24">IF(_xlfn.XLOOKUP($A24,LEFT('EA-Fortescue_ReqsImport'!$A:$A,11),'EA-Fortescue_ReqsImport'!R:R)&lt;1,"",_xlfn.XLOOKUP($A24,LEFT('EA-Fortescue_ReqsImport'!$A:$A,11),'EA-Fortescue_ReqsImport'!R:R))</f>
        <v>The interface shall provide Delphi and Eclipse with access to up to 15 years of historical weather data, including rain, wind, lightning, and other key variables, via Snowflake.</v>
      </c>
      <c r="D24" s="71" t="str" cm="1">
        <f t="array" ref="D24">IF(_xlfn.XLOOKUP($A24,LEFT('EA-Fortescue_ReqsImport'!$A:$A,11),'EA-Fortescue_ReqsImport'!S:S)&lt;1,"",_xlfn.XLOOKUP($A24,LEFT('EA-Fortescue_ReqsImport'!$A:$A,11),'EA-Fortescue_ReqsImport'!S:S))</f>
        <v>Interface Requirement</v>
      </c>
      <c r="E24" s="71" t="str" cm="1">
        <f t="array" ref="E24">IF(_xlfn.XLOOKUP($A24,LEFT('EA-Fortescue_ReqsImport'!$A:$A,11),'EA-Fortescue_ReqsImport'!T:T)&lt;1,"",_xlfn.XLOOKUP($A24,LEFT('EA-Fortescue_ReqsImport'!$A:$A,11),'EA-Fortescue_ReqsImport'!T:T))</f>
        <v>Green Systems Interface Register, Interface DGS-I_0325</v>
      </c>
      <c r="F24" s="71" t="str" cm="1">
        <f t="array" ref="F24">IF(_xlfn.XLOOKUP($A24,LEFT('EA-Fortescue_ReqsImport'!$A:$A,11),'EA-Fortescue_ReqsImport'!U:U)&lt;1,"",_xlfn.XLOOKUP($A24,LEFT('EA-Fortescue_ReqsImport'!$A:$A,11),'EA-Fortescue_ReqsImport'!U:U))</f>
        <v>Delphi</v>
      </c>
      <c r="G24" s="71" t="str" cm="1">
        <f t="array" ref="G24">IF(_xlfn.XLOOKUP($A24,LEFT('EA-Fortescue_ReqsImport'!$A:$A,11),'EA-Fortescue_ReqsImport'!V:V)&lt;1,"",_xlfn.XLOOKUP($A24,LEFT('EA-Fortescue_ReqsImport'!$A:$A,11),'EA-Fortescue_ReqsImport'!V:V))</f>
        <v>Long-term datasets are required for training and validating forecasting models and supporting strategic planning.</v>
      </c>
      <c r="H24" s="71" t="str" cm="1">
        <f t="array" ref="H24">IF(_xlfn.XLOOKUP($A24,LEFT('EA-Fortescue_ReqsImport'!$A:$A,11),'EA-Fortescue_ReqsImport'!W:W)&lt;1,"",_xlfn.XLOOKUP($A24,LEFT('EA-Fortescue_ReqsImport'!$A:$A,11),'EA-Fortescue_ReqsImport'!W:W))</f>
        <v>005OP-0000-005-003 Snowflake (Weather)|855DC-1541-DEL Delphi_x000D_
Project - Subsystem Interface_x000D_
Technical-Data/Software_x000D_
Weather Actuals - 15-Year Historical Weather Dataset (Snowflake)_x000D_
The purpose of this interface is to provide up to 15 years of historical weather data - including rain, wind, lightning, and other key variables - via Snowflake through the Weather Actuals system. Eclipse uses this long-term dataset to train and validate forecasting models, analyse historical patterns, and support long-term operational and strategic planning._x000D_
The criticality level is HIGH because a deep and accurate historical weather record is essential for building reliable forecasting models. Failure compromises long-term operational and strategic planning decisions.</v>
      </c>
      <c r="I24" s="2"/>
      <c r="M24" s="71" t="str" cm="1">
        <f t="array" ref="M24">IF(_xlfn.XLOOKUP($A24,LEFT('EA-Fortescue_ReqsImport'!$A:$A,11),'EA-Fortescue_ReqsImport'!X:X)&lt;1,"",_xlfn.XLOOKUP($A24,LEFT('EA-Fortescue_ReqsImport'!$A:$A,11),'EA-Fortescue_ReqsImport'!X:X))</f>
        <v>Draft</v>
      </c>
    </row>
    <row r="25" spans="1:13" ht="153">
      <c r="A25" s="2" t="str">
        <v>GSP-IR-0024</v>
      </c>
      <c r="C25" s="71" t="str" cm="1">
        <f t="array" ref="C25">IF(_xlfn.XLOOKUP($A25,LEFT('EA-Fortescue_ReqsImport'!$A:$A,11),'EA-Fortescue_ReqsImport'!R:R)&lt;1,"",_xlfn.XLOOKUP($A25,LEFT('EA-Fortescue_ReqsImport'!$A:$A,11),'EA-Fortescue_ReqsImport'!R:R))</f>
        <v>The interface shall ensure the historical weather dataset is internally consistent and free from unexplained gaps that would materially impact model training.</v>
      </c>
      <c r="D25" s="71" t="str" cm="1">
        <f t="array" ref="D25">IF(_xlfn.XLOOKUP($A25,LEFT('EA-Fortescue_ReqsImport'!$A:$A,11),'EA-Fortescue_ReqsImport'!S:S)&lt;1,"",_xlfn.XLOOKUP($A25,LEFT('EA-Fortescue_ReqsImport'!$A:$A,11),'EA-Fortescue_ReqsImport'!S:S))</f>
        <v>Interface Requirement</v>
      </c>
      <c r="E25" s="71" t="str" cm="1">
        <f t="array" ref="E25">IF(_xlfn.XLOOKUP($A25,LEFT('EA-Fortescue_ReqsImport'!$A:$A,11),'EA-Fortescue_ReqsImport'!T:T)&lt;1,"",_xlfn.XLOOKUP($A25,LEFT('EA-Fortescue_ReqsImport'!$A:$A,11),'EA-Fortescue_ReqsImport'!T:T))</f>
        <v>Green Systems Interface Register, Interface DGS-I_0325</v>
      </c>
      <c r="F25" s="71" t="str" cm="1">
        <f t="array" ref="F25">IF(_xlfn.XLOOKUP($A25,LEFT('EA-Fortescue_ReqsImport'!$A:$A,11),'EA-Fortescue_ReqsImport'!U:U)&lt;1,"",_xlfn.XLOOKUP($A25,LEFT('EA-Fortescue_ReqsImport'!$A:$A,11),'EA-Fortescue_ReqsImport'!U:U))</f>
        <v>Delphi</v>
      </c>
      <c r="G25" s="71" t="str" cm="1">
        <f t="array" ref="G25">IF(_xlfn.XLOOKUP($A25,LEFT('EA-Fortescue_ReqsImport'!$A:$A,11),'EA-Fortescue_ReqsImport'!V:V)&lt;1,"",_xlfn.XLOOKUP($A25,LEFT('EA-Fortescue_ReqsImport'!$A:$A,11),'EA-Fortescue_ReqsImport'!V:V))</f>
        <v>Consistency and completeness of history are critical to model robustness.</v>
      </c>
      <c r="H25" s="71" t="str" cm="1">
        <f t="array" ref="H25">IF(_xlfn.XLOOKUP($A25,LEFT('EA-Fortescue_ReqsImport'!$A:$A,11),'EA-Fortescue_ReqsImport'!W:W)&lt;1,"",_xlfn.XLOOKUP($A25,LEFT('EA-Fortescue_ReqsImport'!$A:$A,11),'EA-Fortescue_ReqsImport'!W:W))</f>
        <v>005OP-0000-005-003 Snowflake (Weather)|855DC-1541-DEL Delphi_x000D_
Project - Subsystem Interface_x000D_
Technical-Data/Software_x000D_
Weather Actuals - 15-Year Historical Weather Dataset (Snowflake)_x000D_
The purpose of this interface is to provide up to 15 years of historical weather data - including rain, wind, lightning, and other key variables - via Snowflake through the Weather Actuals system. Eclipse uses this long-term dataset to train and validate forecasting models, analyse historical patterns, and support long-term operational and strategic planning._x000D_
The criticality level is HIGH because a deep and accurate historical weather record is essential for building reliable forecasting models. Failure compromises long-term operational and strategic planning decisions.</v>
      </c>
      <c r="I25" s="2"/>
      <c r="M25" s="71" t="str" cm="1">
        <f t="array" ref="M25">IF(_xlfn.XLOOKUP($A25,LEFT('EA-Fortescue_ReqsImport'!$A:$A,11),'EA-Fortescue_ReqsImport'!X:X)&lt;1,"",_xlfn.XLOOKUP($A25,LEFT('EA-Fortescue_ReqsImport'!$A:$A,11),'EA-Fortescue_ReqsImport'!X:X))</f>
        <v>Draft</v>
      </c>
    </row>
    <row r="26" spans="1:13" ht="153">
      <c r="A26" s="2" t="str">
        <v>GSP-IR-0025</v>
      </c>
      <c r="C26" s="71" t="str" cm="1">
        <f t="array" ref="C26">IF(_xlfn.XLOOKUP($A26,LEFT('EA-Fortescue_ReqsImport'!$A:$A,11),'EA-Fortescue_ReqsImport'!R:R)&lt;1,"",_xlfn.XLOOKUP($A26,LEFT('EA-Fortescue_ReqsImport'!$A:$A,11),'EA-Fortescue_ReqsImport'!R:R))</f>
        <v>The interface shall provide a uni-directional data flow from the Weather Actuals Snowflake dataset into Delphi and Eclipse Snowflake environments.</v>
      </c>
      <c r="D26" s="71" t="str" cm="1">
        <f t="array" ref="D26">IF(_xlfn.XLOOKUP($A26,LEFT('EA-Fortescue_ReqsImport'!$A:$A,11),'EA-Fortescue_ReqsImport'!S:S)&lt;1,"",_xlfn.XLOOKUP($A26,LEFT('EA-Fortescue_ReqsImport'!$A:$A,11),'EA-Fortescue_ReqsImport'!S:S))</f>
        <v>Interface Requirement</v>
      </c>
      <c r="E26" s="71" t="str" cm="1">
        <f t="array" ref="E26">IF(_xlfn.XLOOKUP($A26,LEFT('EA-Fortescue_ReqsImport'!$A:$A,11),'EA-Fortescue_ReqsImport'!T:T)&lt;1,"",_xlfn.XLOOKUP($A26,LEFT('EA-Fortescue_ReqsImport'!$A:$A,11),'EA-Fortescue_ReqsImport'!T:T))</f>
        <v>Green Systems Interface Register, Interface DGS-I_0325</v>
      </c>
      <c r="F26" s="71" t="str" cm="1">
        <f t="array" ref="F26">IF(_xlfn.XLOOKUP($A26,LEFT('EA-Fortescue_ReqsImport'!$A:$A,11),'EA-Fortescue_ReqsImport'!U:U)&lt;1,"",_xlfn.XLOOKUP($A26,LEFT('EA-Fortescue_ReqsImport'!$A:$A,11),'EA-Fortescue_ReqsImport'!U:U))</f>
        <v>Delphi</v>
      </c>
      <c r="G26" s="71" t="str" cm="1">
        <f t="array" ref="G26">IF(_xlfn.XLOOKUP($A26,LEFT('EA-Fortescue_ReqsImport'!$A:$A,11),'EA-Fortescue_ReqsImport'!V:V)&lt;1,"",_xlfn.XLOOKUP($A26,LEFT('EA-Fortescue_ReqsImport'!$A:$A,11),'EA-Fortescue_ReqsImport'!V:V))</f>
        <v>Clear, one-way data paths simplify governance and protect source datasets.</v>
      </c>
      <c r="H26" s="71" t="str" cm="1">
        <f t="array" ref="H26">IF(_xlfn.XLOOKUP($A26,LEFT('EA-Fortescue_ReqsImport'!$A:$A,11),'EA-Fortescue_ReqsImport'!W:W)&lt;1,"",_xlfn.XLOOKUP($A26,LEFT('EA-Fortescue_ReqsImport'!$A:$A,11),'EA-Fortescue_ReqsImport'!W:W))</f>
        <v>005OP-0000-005-003 Snowflake (Weather)|855DC-1541-DEL Delphi_x000D_
Project - Subsystem Interface_x000D_
Technical-Data/Software_x000D_
Weather Actuals - 15-Year Historical Weather Dataset (Snowflake)_x000D_
The purpose of this interface is to provide up to 15 years of historical weather data - including rain, wind, lightning, and other key variables - via Snowflake through the Weather Actuals system. Eclipse uses this long-term dataset to train and validate forecasting models, analyse historical patterns, and support long-term operational and strategic planning._x000D_
The criticality level is HIGH because a deep and accurate historical weather record is essential for building reliable forecasting models. Failure compromises long-term operational and strategic planning decisions.</v>
      </c>
      <c r="I26" s="2"/>
      <c r="M26" s="71" t="str" cm="1">
        <f t="array" ref="M26">IF(_xlfn.XLOOKUP($A26,LEFT('EA-Fortescue_ReqsImport'!$A:$A,11),'EA-Fortescue_ReqsImport'!X:X)&lt;1,"",_xlfn.XLOOKUP($A26,LEFT('EA-Fortescue_ReqsImport'!$A:$A,11),'EA-Fortescue_ReqsImport'!X:X))</f>
        <v>Draft</v>
      </c>
    </row>
    <row r="27" spans="1:13" ht="153">
      <c r="A27" s="2" t="str">
        <v>GSP-IR-0026</v>
      </c>
      <c r="C27" s="71" t="str" cm="1">
        <f t="array" ref="C27">IF(_xlfn.XLOOKUP($A27,LEFT('EA-Fortescue_ReqsImport'!$A:$A,11),'EA-Fortescue_ReqsImport'!R:R)&lt;1,"",_xlfn.XLOOKUP($A27,LEFT('EA-Fortescue_ReqsImport'!$A:$A,11),'EA-Fortescue_ReqsImport'!R:R))</f>
        <v>The interface shall maintain metadata describing data provenance, update cadence, and any known limitations of the historical weather dataset.</v>
      </c>
      <c r="D27" s="71" t="str" cm="1">
        <f t="array" ref="D27">IF(_xlfn.XLOOKUP($A27,LEFT('EA-Fortescue_ReqsImport'!$A:$A,11),'EA-Fortescue_ReqsImport'!S:S)&lt;1,"",_xlfn.XLOOKUP($A27,LEFT('EA-Fortescue_ReqsImport'!$A:$A,11),'EA-Fortescue_ReqsImport'!S:S))</f>
        <v>Interface Requirement</v>
      </c>
      <c r="E27" s="71" t="str" cm="1">
        <f t="array" ref="E27">IF(_xlfn.XLOOKUP($A27,LEFT('EA-Fortescue_ReqsImport'!$A:$A,11),'EA-Fortescue_ReqsImport'!T:T)&lt;1,"",_xlfn.XLOOKUP($A27,LEFT('EA-Fortescue_ReqsImport'!$A:$A,11),'EA-Fortescue_ReqsImport'!T:T))</f>
        <v>Green Systems Interface Register, Interface DGS-I_0325</v>
      </c>
      <c r="F27" s="71" t="str" cm="1">
        <f t="array" ref="F27">IF(_xlfn.XLOOKUP($A27,LEFT('EA-Fortescue_ReqsImport'!$A:$A,11),'EA-Fortescue_ReqsImport'!U:U)&lt;1,"",_xlfn.XLOOKUP($A27,LEFT('EA-Fortescue_ReqsImport'!$A:$A,11),'EA-Fortescue_ReqsImport'!U:U))</f>
        <v>Delphi</v>
      </c>
      <c r="G27" s="71" t="str" cm="1">
        <f t="array" ref="G27">IF(_xlfn.XLOOKUP($A27,LEFT('EA-Fortescue_ReqsImport'!$A:$A,11),'EA-Fortescue_ReqsImport'!V:V)&lt;1,"",_xlfn.XLOOKUP($A27,LEFT('EA-Fortescue_ReqsImport'!$A:$A,11),'EA-Fortescue_ReqsImport'!V:V))</f>
        <v>Users need transparency on dataset limitations to interpret model results correctly.</v>
      </c>
      <c r="H27" s="71" t="str" cm="1">
        <f t="array" ref="H27">IF(_xlfn.XLOOKUP($A27,LEFT('EA-Fortescue_ReqsImport'!$A:$A,11),'EA-Fortescue_ReqsImport'!W:W)&lt;1,"",_xlfn.XLOOKUP($A27,LEFT('EA-Fortescue_ReqsImport'!$A:$A,11),'EA-Fortescue_ReqsImport'!W:W))</f>
        <v>005OP-0000-005-003 Snowflake (Weather)|855DC-1541-DEL Delphi_x000D_
Project - Subsystem Interface_x000D_
Technical-Data/Software_x000D_
Weather Actuals - 15-Year Historical Weather Dataset (Snowflake)_x000D_
The purpose of this interface is to provide up to 15 years of historical weather data - including rain, wind, lightning, and other key variables - via Snowflake through the Weather Actuals system. Eclipse uses this long-term dataset to train and validate forecasting models, analyse historical patterns, and support long-term operational and strategic planning._x000D_
The criticality level is HIGH because a deep and accurate historical weather record is essential for building reliable forecasting models. Failure compromises long-term operational and strategic planning decisions.</v>
      </c>
      <c r="I27" s="2"/>
      <c r="M27" s="71" t="str" cm="1">
        <f t="array" ref="M27">IF(_xlfn.XLOOKUP($A27,LEFT('EA-Fortescue_ReqsImport'!$A:$A,11),'EA-Fortescue_ReqsImport'!X:X)&lt;1,"",_xlfn.XLOOKUP($A27,LEFT('EA-Fortescue_ReqsImport'!$A:$A,11),'EA-Fortescue_ReqsImport'!X:X))</f>
        <v>Draft</v>
      </c>
    </row>
    <row r="28" spans="1:13" ht="153">
      <c r="A28" s="2" t="str">
        <v>GSP-IR-0027</v>
      </c>
      <c r="C28" s="71" t="str" cm="1">
        <f t="array" ref="C28">IF(_xlfn.XLOOKUP($A28,LEFT('EA-Fortescue_ReqsImport'!$A:$A,11),'EA-Fortescue_ReqsImport'!R:R)&lt;1,"",_xlfn.XLOOKUP($A28,LEFT('EA-Fortescue_ReqsImport'!$A:$A,11),'EA-Fortescue_ReqsImport'!R:R))</f>
        <v>The interface shall ingest high-resolution solar irradiance forecasts for the North Star Junction site from the Solstice AI service into Delphi and Eclipse.</v>
      </c>
      <c r="D28" s="71" t="str" cm="1">
        <f t="array" ref="D28">IF(_xlfn.XLOOKUP($A28,LEFT('EA-Fortescue_ReqsImport'!$A:$A,11),'EA-Fortescue_ReqsImport'!S:S)&lt;1,"",_xlfn.XLOOKUP($A28,LEFT('EA-Fortescue_ReqsImport'!$A:$A,11),'EA-Fortescue_ReqsImport'!S:S))</f>
        <v>Interface Requirement</v>
      </c>
      <c r="E28" s="71" t="str" cm="1">
        <f t="array" ref="E28">IF(_xlfn.XLOOKUP($A28,LEFT('EA-Fortescue_ReqsImport'!$A:$A,11),'EA-Fortescue_ReqsImport'!T:T)&lt;1,"",_xlfn.XLOOKUP($A28,LEFT('EA-Fortescue_ReqsImport'!$A:$A,11),'EA-Fortescue_ReqsImport'!T:T))</f>
        <v>Green Systems Interface Register, Interface DGS-I_0327</v>
      </c>
      <c r="F28" s="71" t="str" cm="1">
        <f t="array" ref="F28">IF(_xlfn.XLOOKUP($A28,LEFT('EA-Fortescue_ReqsImport'!$A:$A,11),'EA-Fortescue_ReqsImport'!U:U)&lt;1,"",_xlfn.XLOOKUP($A28,LEFT('EA-Fortescue_ReqsImport'!$A:$A,11),'EA-Fortescue_ReqsImport'!U:U))</f>
        <v>Delphi</v>
      </c>
      <c r="G28" s="71" t="str" cm="1">
        <f t="array" ref="G28">IF(_xlfn.XLOOKUP($A28,LEFT('EA-Fortescue_ReqsImport'!$A:$A,11),'EA-Fortescue_ReqsImport'!V:V)&lt;1,"",_xlfn.XLOOKUP($A28,LEFT('EA-Fortescue_ReqsImport'!$A:$A,11),'EA-Fortescue_ReqsImport'!V:V))</f>
        <v>Accurate site-specific irradiance forecasts are required for solar output planning and BESS management.</v>
      </c>
      <c r="H28" s="71" t="str" cm="1">
        <f t="array" ref="H28">IF(_xlfn.XLOOKUP($A28,LEFT('EA-Fortescue_ReqsImport'!$A:$A,11),'EA-Fortescue_ReqsImport'!W:W)&lt;1,"",_xlfn.XLOOKUP($A28,LEFT('EA-Fortescue_ReqsImport'!$A:$A,11),'EA-Fortescue_ReqsImport'!W:W))</f>
        <v>005OP-0000-005-004 Solstice|855DC-1541-DEL Delphi_x000D_
Project - Subsystem Interface_x000D_
Technical-Data/Software_x000D_
Solstice AI - North Star Junction Irradiance Forecasting_x000D_
The purpose of this interface is for Solstice AI to provide high-resolution solar irradiance forecasting for the North Star Junction site to support short-term operational decision-making. These forecasts will specifically help operators to anticipate changes in solar generation, adjust dispatch, and manage Battery Energy Storage System (BESS) behaviour proactively._x000D_
The criticality level is HIGH because accurate near-term irradiance forecasts are essential for reliable solar output planning and maintaining stability of site operations. Failure risks incorrect dispatch and management of BESS behaviour.</v>
      </c>
      <c r="I28" s="2"/>
      <c r="M28" s="71" t="str" cm="1">
        <f t="array" ref="M28">IF(_xlfn.XLOOKUP($A28,LEFT('EA-Fortescue_ReqsImport'!$A:$A,11),'EA-Fortescue_ReqsImport'!X:X)&lt;1,"",_xlfn.XLOOKUP($A28,LEFT('EA-Fortescue_ReqsImport'!$A:$A,11),'EA-Fortescue_ReqsImport'!X:X))</f>
        <v>Draft</v>
      </c>
    </row>
    <row r="29" spans="1:13" ht="153">
      <c r="A29" s="2" t="str">
        <v>GSP-IR-0028</v>
      </c>
      <c r="C29" s="71" t="str" cm="1">
        <f t="array" ref="C29">IF(_xlfn.XLOOKUP($A29,LEFT('EA-Fortescue_ReqsImport'!$A:$A,11),'EA-Fortescue_ReqsImport'!R:R)&lt;1,"",_xlfn.XLOOKUP($A29,LEFT('EA-Fortescue_ReqsImport'!$A:$A,11),'EA-Fortescue_ReqsImport'!R:R))</f>
        <v>The interface shall deliver Solstice AI forecasts at a temporal resolution sufficient to support short-term operational decision-making and dispatch adjustment.</v>
      </c>
      <c r="D29" s="71" t="str" cm="1">
        <f t="array" ref="D29">IF(_xlfn.XLOOKUP($A29,LEFT('EA-Fortescue_ReqsImport'!$A:$A,11),'EA-Fortescue_ReqsImport'!S:S)&lt;1,"",_xlfn.XLOOKUP($A29,LEFT('EA-Fortescue_ReqsImport'!$A:$A,11),'EA-Fortescue_ReqsImport'!S:S))</f>
        <v>Interface Requirement</v>
      </c>
      <c r="E29" s="71" t="str" cm="1">
        <f t="array" ref="E29">IF(_xlfn.XLOOKUP($A29,LEFT('EA-Fortescue_ReqsImport'!$A:$A,11),'EA-Fortescue_ReqsImport'!T:T)&lt;1,"",_xlfn.XLOOKUP($A29,LEFT('EA-Fortescue_ReqsImport'!$A:$A,11),'EA-Fortescue_ReqsImport'!T:T))</f>
        <v>Green Systems Interface Register, Interface DGS-I_0327</v>
      </c>
      <c r="F29" s="71" t="str" cm="1">
        <f t="array" ref="F29">IF(_xlfn.XLOOKUP($A29,LEFT('EA-Fortescue_ReqsImport'!$A:$A,11),'EA-Fortescue_ReqsImport'!U:U)&lt;1,"",_xlfn.XLOOKUP($A29,LEFT('EA-Fortescue_ReqsImport'!$A:$A,11),'EA-Fortescue_ReqsImport'!U:U))</f>
        <v>Delphi</v>
      </c>
      <c r="G29" s="71" t="str" cm="1">
        <f t="array" ref="G29">IF(_xlfn.XLOOKUP($A29,LEFT('EA-Fortescue_ReqsImport'!$A:$A,11),'EA-Fortescue_ReqsImport'!V:V)&lt;1,"",_xlfn.XLOOKUP($A29,LEFT('EA-Fortescue_ReqsImport'!$A:$A,11),'EA-Fortescue_ReqsImport'!V:V))</f>
        <v>Near-term operational control requires granular forecasts to anticipate rapid changes.</v>
      </c>
      <c r="H29" s="71" t="str" cm="1">
        <f t="array" ref="H29">IF(_xlfn.XLOOKUP($A29,LEFT('EA-Fortescue_ReqsImport'!$A:$A,11),'EA-Fortescue_ReqsImport'!W:W)&lt;1,"",_xlfn.XLOOKUP($A29,LEFT('EA-Fortescue_ReqsImport'!$A:$A,11),'EA-Fortescue_ReqsImport'!W:W))</f>
        <v>005OP-0000-005-004 Solstice|855DC-1541-DEL Delphi_x000D_
Project - Subsystem Interface_x000D_
Technical-Data/Software_x000D_
Solstice AI - North Star Junction Irradiance Forecasting_x000D_
The purpose of this interface is for Solstice AI to provide high-resolution solar irradiance forecasting for the North Star Junction site to support short-term operational decision-making. These forecasts will specifically help operators to anticipate changes in solar generation, adjust dispatch, and manage Battery Energy Storage System (BESS) behaviour proactively._x000D_
The criticality level is HIGH because accurate near-term irradiance forecasts are essential for reliable solar output planning and maintaining stability of site operations. Failure risks incorrect dispatch and management of BESS behaviour.</v>
      </c>
      <c r="I29" s="2"/>
      <c r="M29" s="71" t="str" cm="1">
        <f t="array" ref="M29">IF(_xlfn.XLOOKUP($A29,LEFT('EA-Fortescue_ReqsImport'!$A:$A,11),'EA-Fortescue_ReqsImport'!X:X)&lt;1,"",_xlfn.XLOOKUP($A29,LEFT('EA-Fortescue_ReqsImport'!$A:$A,11),'EA-Fortescue_ReqsImport'!X:X))</f>
        <v>Draft</v>
      </c>
    </row>
    <row r="30" spans="1:13" ht="153">
      <c r="A30" s="2" t="str">
        <v>GSP-IR-0029</v>
      </c>
      <c r="C30" s="71" t="str" cm="1">
        <f t="array" ref="C30">IF(_xlfn.XLOOKUP($A30,LEFT('EA-Fortescue_ReqsImport'!$A:$A,11),'EA-Fortescue_ReqsImport'!R:R)&lt;1,"",_xlfn.XLOOKUP($A30,LEFT('EA-Fortescue_ReqsImport'!$A:$A,11),'EA-Fortescue_ReqsImport'!R:R))</f>
        <v>The interface shall route Solstice AI forecast data via the Solstice AI Snowflake dataset into Delphi and Eclipse in a uni-directional manner.</v>
      </c>
      <c r="D30" s="71" t="str" cm="1">
        <f t="array" ref="D30">IF(_xlfn.XLOOKUP($A30,LEFT('EA-Fortescue_ReqsImport'!$A:$A,11),'EA-Fortescue_ReqsImport'!S:S)&lt;1,"",_xlfn.XLOOKUP($A30,LEFT('EA-Fortescue_ReqsImport'!$A:$A,11),'EA-Fortescue_ReqsImport'!S:S))</f>
        <v>Interface Requirement</v>
      </c>
      <c r="E30" s="71" t="str" cm="1">
        <f t="array" ref="E30">IF(_xlfn.XLOOKUP($A30,LEFT('EA-Fortescue_ReqsImport'!$A:$A,11),'EA-Fortescue_ReqsImport'!T:T)&lt;1,"",_xlfn.XLOOKUP($A30,LEFT('EA-Fortescue_ReqsImport'!$A:$A,11),'EA-Fortescue_ReqsImport'!T:T))</f>
        <v>Green Systems Interface Register, Interface DGS-I_0327</v>
      </c>
      <c r="F30" s="71" t="str" cm="1">
        <f t="array" ref="F30">IF(_xlfn.XLOOKUP($A30,LEFT('EA-Fortescue_ReqsImport'!$A:$A,11),'EA-Fortescue_ReqsImport'!U:U)&lt;1,"",_xlfn.XLOOKUP($A30,LEFT('EA-Fortescue_ReqsImport'!$A:$A,11),'EA-Fortescue_ReqsImport'!U:U))</f>
        <v>Delphi</v>
      </c>
      <c r="G30" s="71" t="str" cm="1">
        <f t="array" ref="G30">IF(_xlfn.XLOOKUP($A30,LEFT('EA-Fortescue_ReqsImport'!$A:$A,11),'EA-Fortescue_ReqsImport'!V:V)&lt;1,"",_xlfn.XLOOKUP($A30,LEFT('EA-Fortescue_ReqsImport'!$A:$A,11),'EA-Fortescue_ReqsImport'!V:V))</f>
        <v>This preserves data lineage and conforms to the defined integration pattern.</v>
      </c>
      <c r="H30" s="71" t="str" cm="1">
        <f t="array" ref="H30">IF(_xlfn.XLOOKUP($A30,LEFT('EA-Fortescue_ReqsImport'!$A:$A,11),'EA-Fortescue_ReqsImport'!W:W)&lt;1,"",_xlfn.XLOOKUP($A30,LEFT('EA-Fortescue_ReqsImport'!$A:$A,11),'EA-Fortescue_ReqsImport'!W:W))</f>
        <v>005OP-0000-005-004 Solstice|855DC-1541-DEL Delphi_x000D_
Project - Subsystem Interface_x000D_
Technical-Data/Software_x000D_
Solstice AI - North Star Junction Irradiance Forecasting_x000D_
The purpose of this interface is for Solstice AI to provide high-resolution solar irradiance forecasting for the North Star Junction site to support short-term operational decision-making. These forecasts will specifically help operators to anticipate changes in solar generation, adjust dispatch, and manage Battery Energy Storage System (BESS) behaviour proactively._x000D_
The criticality level is HIGH because accurate near-term irradiance forecasts are essential for reliable solar output planning and maintaining stability of site operations. Failure risks incorrect dispatch and management of BESS behaviour.</v>
      </c>
      <c r="I30" s="2"/>
      <c r="M30" s="71" t="str" cm="1">
        <f t="array" ref="M30">IF(_xlfn.XLOOKUP($A30,LEFT('EA-Fortescue_ReqsImport'!$A:$A,11),'EA-Fortescue_ReqsImport'!X:X)&lt;1,"",_xlfn.XLOOKUP($A30,LEFT('EA-Fortescue_ReqsImport'!$A:$A,11),'EA-Fortescue_ReqsImport'!X:X))</f>
        <v>Draft</v>
      </c>
    </row>
    <row r="31" spans="1:13" ht="153">
      <c r="A31" s="2" t="str">
        <v>GSP-IR-0030</v>
      </c>
      <c r="C31" s="71" t="str" cm="1">
        <f t="array" ref="C31">IF(_xlfn.XLOOKUP($A31,LEFT('EA-Fortescue_ReqsImport'!$A:$A,11),'EA-Fortescue_ReqsImport'!R:R)&lt;1,"",_xlfn.XLOOKUP($A31,LEFT('EA-Fortescue_ReqsImport'!$A:$A,11),'EA-Fortescue_ReqsImport'!R:R))</f>
        <v>The interface shall provide mechanisms to detect missing or delayed Solstice AI forecast updates and alert operations appropriately.</v>
      </c>
      <c r="D31" s="71" t="str" cm="1">
        <f t="array" ref="D31">IF(_xlfn.XLOOKUP($A31,LEFT('EA-Fortescue_ReqsImport'!$A:$A,11),'EA-Fortescue_ReqsImport'!S:S)&lt;1,"",_xlfn.XLOOKUP($A31,LEFT('EA-Fortescue_ReqsImport'!$A:$A,11),'EA-Fortescue_ReqsImport'!S:S))</f>
        <v>Interface Requirement</v>
      </c>
      <c r="E31" s="71" t="str" cm="1">
        <f t="array" ref="E31">IF(_xlfn.XLOOKUP($A31,LEFT('EA-Fortescue_ReqsImport'!$A:$A,11),'EA-Fortescue_ReqsImport'!T:T)&lt;1,"",_xlfn.XLOOKUP($A31,LEFT('EA-Fortescue_ReqsImport'!$A:$A,11),'EA-Fortescue_ReqsImport'!T:T))</f>
        <v>Green Systems Interface Register, Interface DGS-I_0327</v>
      </c>
      <c r="F31" s="71" t="str" cm="1">
        <f t="array" ref="F31">IF(_xlfn.XLOOKUP($A31,LEFT('EA-Fortescue_ReqsImport'!$A:$A,11),'EA-Fortescue_ReqsImport'!U:U)&lt;1,"",_xlfn.XLOOKUP($A31,LEFT('EA-Fortescue_ReqsImport'!$A:$A,11),'EA-Fortescue_ReqsImport'!U:U))</f>
        <v>Delphi</v>
      </c>
      <c r="G31" s="71" t="str" cm="1">
        <f t="array" ref="G31">IF(_xlfn.XLOOKUP($A31,LEFT('EA-Fortescue_ReqsImport'!$A:$A,11),'EA-Fortescue_ReqsImport'!V:V)&lt;1,"",_xlfn.XLOOKUP($A31,LEFT('EA-Fortescue_ReqsImport'!$A:$A,11),'EA-Fortescue_ReqsImport'!V:V))</f>
        <v>Missing forecasts can lead to incorrect dispatch and BESS behaviour.</v>
      </c>
      <c r="H31" s="71" t="str" cm="1">
        <f t="array" ref="H31">IF(_xlfn.XLOOKUP($A31,LEFT('EA-Fortescue_ReqsImport'!$A:$A,11),'EA-Fortescue_ReqsImport'!W:W)&lt;1,"",_xlfn.XLOOKUP($A31,LEFT('EA-Fortescue_ReqsImport'!$A:$A,11),'EA-Fortescue_ReqsImport'!W:W))</f>
        <v>005OP-0000-005-004 Solstice|855DC-1541-DEL Delphi_x000D_
Project - Subsystem Interface_x000D_
Technical-Data/Software_x000D_
Solstice AI - North Star Junction Irradiance Forecasting_x000D_
The purpose of this interface is for Solstice AI to provide high-resolution solar irradiance forecasting for the North Star Junction site to support short-term operational decision-making. These forecasts will specifically help operators to anticipate changes in solar generation, adjust dispatch, and manage Battery Energy Storage System (BESS) behaviour proactively._x000D_
The criticality level is HIGH because accurate near-term irradiance forecasts are essential for reliable solar output planning and maintaining stability of site operations. Failure risks incorrect dispatch and management of BESS behaviour.</v>
      </c>
      <c r="I31" s="2"/>
      <c r="M31" s="71" t="str" cm="1">
        <f t="array" ref="M31">IF(_xlfn.XLOOKUP($A31,LEFT('EA-Fortescue_ReqsImport'!$A:$A,11),'EA-Fortescue_ReqsImport'!X:X)&lt;1,"",_xlfn.XLOOKUP($A31,LEFT('EA-Fortescue_ReqsImport'!$A:$A,11),'EA-Fortescue_ReqsImport'!X:X))</f>
        <v>Draft</v>
      </c>
    </row>
    <row r="32" spans="1:13" ht="153">
      <c r="A32" s="2" t="str">
        <v>GSP-IR-0031</v>
      </c>
      <c r="B32" s="13"/>
      <c r="C32" s="71" t="str" cm="1">
        <f t="array" ref="C32">IF(_xlfn.XLOOKUP($A32,LEFT('EA-Fortescue_ReqsImport'!$A:$A,11),'EA-Fortescue_ReqsImport'!R:R)&lt;1,"",_xlfn.XLOOKUP($A32,LEFT('EA-Fortescue_ReqsImport'!$A:$A,11),'EA-Fortescue_ReqsImport'!R:R))</f>
        <v>The interface shall ingest near-term rain and lightning forecast data from Weatherzone into Delphi and Eclipse via Snowflake.</v>
      </c>
      <c r="D32" s="71" t="str" cm="1">
        <f t="array" ref="D32">IF(_xlfn.XLOOKUP($A32,LEFT('EA-Fortescue_ReqsImport'!$A:$A,11),'EA-Fortescue_ReqsImport'!S:S)&lt;1,"",_xlfn.XLOOKUP($A32,LEFT('EA-Fortescue_ReqsImport'!$A:$A,11),'EA-Fortescue_ReqsImport'!S:S))</f>
        <v>Interface Requirement</v>
      </c>
      <c r="E32" s="71" t="str" cm="1">
        <f t="array" ref="E32">IF(_xlfn.XLOOKUP($A32,LEFT('EA-Fortescue_ReqsImport'!$A:$A,11),'EA-Fortescue_ReqsImport'!T:T)&lt;1,"",_xlfn.XLOOKUP($A32,LEFT('EA-Fortescue_ReqsImport'!$A:$A,11),'EA-Fortescue_ReqsImport'!T:T))</f>
        <v>Green Systems Interface Register, Interface DGS-I_0328</v>
      </c>
      <c r="F32" s="71" t="str" cm="1">
        <f t="array" ref="F32">IF(_xlfn.XLOOKUP($A32,LEFT('EA-Fortescue_ReqsImport'!$A:$A,11),'EA-Fortescue_ReqsImport'!U:U)&lt;1,"",_xlfn.XLOOKUP($A32,LEFT('EA-Fortescue_ReqsImport'!$A:$A,11),'EA-Fortescue_ReqsImport'!U:U))</f>
        <v>Delphi</v>
      </c>
      <c r="G32" s="71" t="str" cm="1">
        <f t="array" ref="G32">IF(_xlfn.XLOOKUP($A32,LEFT('EA-Fortescue_ReqsImport'!$A:$A,11),'EA-Fortescue_ReqsImport'!V:V)&lt;1,"",_xlfn.XLOOKUP($A32,LEFT('EA-Fortescue_ReqsImport'!$A:$A,11),'EA-Fortescue_ReqsImport'!V:V))</f>
        <v>Near-term rain and lightning forecasts are required for operator awareness and short-horizon planning.</v>
      </c>
      <c r="H32" s="71" t="str" cm="1">
        <f t="array" ref="H32">IF(_xlfn.XLOOKUP($A32,LEFT('EA-Fortescue_ReqsImport'!$A:$A,11),'EA-Fortescue_ReqsImport'!W:W)&lt;1,"",_xlfn.XLOOKUP($A32,LEFT('EA-Fortescue_ReqsImport'!$A:$A,11),'EA-Fortescue_ReqsImport'!W:W))</f>
        <v>005OP-0000-005-005 Weatherzone|855DC-1541-DEL Delphi_x000D_
Project - Subsystem Interface_x000D_
Technical-Data/Software_x000D_
Weatherzone - Rain &amp; Lightning Forecasting (Snowflake Integration)_x000D_
The purpose of this interface is to allow Delphi to consume near-term rain and lightning forecast data provided by Weatherzone through Snowflake to support operator awareness and short-horizon planning. This information helps operators anticipate weather-driven impacts on operations, producing energy, manage risk, and adjust site activities proactively._x000D_
The criticality level is HIGH because timely rain and lightning forecasts are essential for maintaining safe and reliable operational planning. Failure risks safety and prevents proactive adjustment of site activities during volatile weather.</v>
      </c>
      <c r="I32" s="2"/>
      <c r="M32" s="71" t="str" cm="1">
        <f t="array" ref="M32">IF(_xlfn.XLOOKUP($A32,LEFT('EA-Fortescue_ReqsImport'!$A:$A,11),'EA-Fortescue_ReqsImport'!X:X)&lt;1,"",_xlfn.XLOOKUP($A32,LEFT('EA-Fortescue_ReqsImport'!$A:$A,11),'EA-Fortescue_ReqsImport'!X:X))</f>
        <v>Draft</v>
      </c>
    </row>
    <row r="33" spans="1:13" ht="153">
      <c r="A33" s="2" t="str">
        <v>GSP-IR-0032</v>
      </c>
      <c r="B33" s="13"/>
      <c r="C33" s="71" t="str" cm="1">
        <f t="array" ref="C33">IF(_xlfn.XLOOKUP($A33,LEFT('EA-Fortescue_ReqsImport'!$A:$A,11),'EA-Fortescue_ReqsImport'!R:R)&lt;1,"",_xlfn.XLOOKUP($A33,LEFT('EA-Fortescue_ReqsImport'!$A:$A,11),'EA-Fortescue_ReqsImport'!R:R))</f>
        <v>The interface shall deliver Weatherzone forecast updates at a interval of every 15 minutes that supports proactive adjustment of site activities in response to volatile weather.</v>
      </c>
      <c r="D33" s="71" t="str" cm="1">
        <f t="array" ref="D33">IF(_xlfn.XLOOKUP($A33,LEFT('EA-Fortescue_ReqsImport'!$A:$A,11),'EA-Fortescue_ReqsImport'!S:S)&lt;1,"",_xlfn.XLOOKUP($A33,LEFT('EA-Fortescue_ReqsImport'!$A:$A,11),'EA-Fortescue_ReqsImport'!S:S))</f>
        <v>Interface Requirement</v>
      </c>
      <c r="E33" s="71" t="str" cm="1">
        <f t="array" ref="E33">IF(_xlfn.XLOOKUP($A33,LEFT('EA-Fortescue_ReqsImport'!$A:$A,11),'EA-Fortescue_ReqsImport'!T:T)&lt;1,"",_xlfn.XLOOKUP($A33,LEFT('EA-Fortescue_ReqsImport'!$A:$A,11),'EA-Fortescue_ReqsImport'!T:T))</f>
        <v>Green Systems Interface Register, Interface DGS-I_0328</v>
      </c>
      <c r="F33" s="71" t="str" cm="1">
        <f t="array" ref="F33">IF(_xlfn.XLOOKUP($A33,LEFT('EA-Fortescue_ReqsImport'!$A:$A,11),'EA-Fortescue_ReqsImport'!U:U)&lt;1,"",_xlfn.XLOOKUP($A33,LEFT('EA-Fortescue_ReqsImport'!$A:$A,11),'EA-Fortescue_ReqsImport'!U:U))</f>
        <v>Delphi</v>
      </c>
      <c r="G33" s="71" t="str" cm="1">
        <f t="array" ref="G33">IF(_xlfn.XLOOKUP($A33,LEFT('EA-Fortescue_ReqsImport'!$A:$A,11),'EA-Fortescue_ReqsImport'!V:V)&lt;1,"",_xlfn.XLOOKUP($A33,LEFT('EA-Fortescue_ReqsImport'!$A:$A,11),'EA-Fortescue_ReqsImport'!V:V))</f>
        <v>Timely updates are necessary for safe and reliable operational planning.</v>
      </c>
      <c r="H33" s="71" t="str" cm="1">
        <f t="array" ref="H33">IF(_xlfn.XLOOKUP($A33,LEFT('EA-Fortescue_ReqsImport'!$A:$A,11),'EA-Fortescue_ReqsImport'!W:W)&lt;1,"",_xlfn.XLOOKUP($A33,LEFT('EA-Fortescue_ReqsImport'!$A:$A,11),'EA-Fortescue_ReqsImport'!W:W))</f>
        <v>005OP-0000-005-005 Weatherzone|855DC-1541-DEL Delphi_x000D_
Project - Subsystem Interface_x000D_
Technical-Data/Software_x000D_
Weatherzone - Rain &amp; Lightning Forecasting (Snowflake Integration)_x000D_
The purpose of this interface is to allow Delphi to consume near-term rain and lightning forecast data provided by Weatherzone through Snowflake to support operator awareness and short-horizon planning. This information helps operators anticipate weather-driven impacts on operations, producing energy, manage risk, and adjust site activities proactively._x000D_
The criticality level is HIGH because timely rain and lightning forecasts are essential for maintaining safe and reliable operational planning. Failure risks safety and prevents proactive adjustment of site activities during volatile weather.</v>
      </c>
      <c r="I33" s="2"/>
      <c r="M33" s="71" t="str" cm="1">
        <f t="array" ref="M33">IF(_xlfn.XLOOKUP($A33,LEFT('EA-Fortescue_ReqsImport'!$A:$A,11),'EA-Fortescue_ReqsImport'!X:X)&lt;1,"",_xlfn.XLOOKUP($A33,LEFT('EA-Fortescue_ReqsImport'!$A:$A,11),'EA-Fortescue_ReqsImport'!X:X))</f>
        <v>Draft</v>
      </c>
    </row>
    <row r="34" spans="1:13" ht="153">
      <c r="A34" s="2" t="str">
        <v>GSP-IR-0033</v>
      </c>
      <c r="B34" s="13"/>
      <c r="C34" s="71" t="str" cm="1">
        <f t="array" ref="C34">IF(_xlfn.XLOOKUP($A34,LEFT('EA-Fortescue_ReqsImport'!$A:$A,11),'EA-Fortescue_ReqsImport'!R:R)&lt;1,"",_xlfn.XLOOKUP($A34,LEFT('EA-Fortescue_ReqsImport'!$A:$A,11),'EA-Fortescue_ReqsImport'!R:R))</f>
        <v>The interface shall ensure that Weatherzone lightning forecasts are made available to systems and displays supporting safety protocols and operational risk management.</v>
      </c>
      <c r="D34" s="71" t="str" cm="1">
        <f t="array" ref="D34">IF(_xlfn.XLOOKUP($A34,LEFT('EA-Fortescue_ReqsImport'!$A:$A,11),'EA-Fortescue_ReqsImport'!S:S)&lt;1,"",_xlfn.XLOOKUP($A34,LEFT('EA-Fortescue_ReqsImport'!$A:$A,11),'EA-Fortescue_ReqsImport'!S:S))</f>
        <v>Interface Requirement</v>
      </c>
      <c r="E34" s="71" t="str" cm="1">
        <f t="array" ref="E34">IF(_xlfn.XLOOKUP($A34,LEFT('EA-Fortescue_ReqsImport'!$A:$A,11),'EA-Fortescue_ReqsImport'!T:T)&lt;1,"",_xlfn.XLOOKUP($A34,LEFT('EA-Fortescue_ReqsImport'!$A:$A,11),'EA-Fortescue_ReqsImport'!T:T))</f>
        <v>Green Systems Interface Register, Interface DGS-I_0328</v>
      </c>
      <c r="F34" s="71" t="str" cm="1">
        <f t="array" ref="F34">IF(_xlfn.XLOOKUP($A34,LEFT('EA-Fortescue_ReqsImport'!$A:$A,11),'EA-Fortescue_ReqsImport'!U:U)&lt;1,"",_xlfn.XLOOKUP($A34,LEFT('EA-Fortescue_ReqsImport'!$A:$A,11),'EA-Fortescue_ReqsImport'!U:U))</f>
        <v>Delphi</v>
      </c>
      <c r="G34" s="71" t="str" cm="1">
        <f t="array" ref="G34">IF(_xlfn.XLOOKUP($A34,LEFT('EA-Fortescue_ReqsImport'!$A:$A,11),'EA-Fortescue_ReqsImport'!V:V)&lt;1,"",_xlfn.XLOOKUP($A34,LEFT('EA-Fortescue_ReqsImport'!$A:$A,11),'EA-Fortescue_ReqsImport'!V:V))</f>
        <v>Lightning information is safety-critical for field activities and asset protection.</v>
      </c>
      <c r="H34" s="71" t="str" cm="1">
        <f t="array" ref="H34">IF(_xlfn.XLOOKUP($A34,LEFT('EA-Fortescue_ReqsImport'!$A:$A,11),'EA-Fortescue_ReqsImport'!W:W)&lt;1,"",_xlfn.XLOOKUP($A34,LEFT('EA-Fortescue_ReqsImport'!$A:$A,11),'EA-Fortescue_ReqsImport'!W:W))</f>
        <v>005OP-0000-005-005 Weatherzone|855DC-1541-DEL Delphi_x000D_
Project - Subsystem Interface_x000D_
Technical-Data/Software_x000D_
Weatherzone - Rain &amp; Lightning Forecasting (Snowflake Integration)_x000D_
The purpose of this interface is to allow Delphi to consume near-term rain and lightning forecast data provided by Weatherzone through Snowflake to support operator awareness and short-horizon planning. This information helps operators anticipate weather-driven impacts on operations, producing energy, manage risk, and adjust site activities proactively._x000D_
The criticality level is HIGH because timely rain and lightning forecasts are essential for maintaining safe and reliable operational planning. Failure risks safety and prevents proactive adjustment of site activities during volatile weather.</v>
      </c>
      <c r="I34" s="2"/>
      <c r="M34" s="71" t="str" cm="1">
        <f t="array" ref="M34">IF(_xlfn.XLOOKUP($A34,LEFT('EA-Fortescue_ReqsImport'!$A:$A,11),'EA-Fortescue_ReqsImport'!X:X)&lt;1,"",_xlfn.XLOOKUP($A34,LEFT('EA-Fortescue_ReqsImport'!$A:$A,11),'EA-Fortescue_ReqsImport'!X:X))</f>
        <v>Draft</v>
      </c>
    </row>
    <row r="35" spans="1:13" ht="153">
      <c r="A35" s="2" t="str">
        <v>GSP-IR-0034</v>
      </c>
      <c r="B35" s="13"/>
      <c r="C35" s="71" t="str" cm="1">
        <f t="array" ref="C35">IF(_xlfn.XLOOKUP($A35,LEFT('EA-Fortescue_ReqsImport'!$A:$A,11),'EA-Fortescue_ReqsImport'!R:R)&lt;1,"",_xlfn.XLOOKUP($A35,LEFT('EA-Fortescue_ReqsImport'!$A:$A,11),'EA-Fortescue_ReqsImport'!R:R))</f>
        <v>The interface shall log and retain Weatherzone forecast data for post-weather event analysis and continuous improvement of planning processes.</v>
      </c>
      <c r="D35" s="71" t="str" cm="1">
        <f t="array" ref="D35">IF(_xlfn.XLOOKUP($A35,LEFT('EA-Fortescue_ReqsImport'!$A:$A,11),'EA-Fortescue_ReqsImport'!S:S)&lt;1,"",_xlfn.XLOOKUP($A35,LEFT('EA-Fortescue_ReqsImport'!$A:$A,11),'EA-Fortescue_ReqsImport'!S:S))</f>
        <v>Interface Requirement</v>
      </c>
      <c r="E35" s="71" t="str" cm="1">
        <f t="array" ref="E35">IF(_xlfn.XLOOKUP($A35,LEFT('EA-Fortescue_ReqsImport'!$A:$A,11),'EA-Fortescue_ReqsImport'!T:T)&lt;1,"",_xlfn.XLOOKUP($A35,LEFT('EA-Fortescue_ReqsImport'!$A:$A,11),'EA-Fortescue_ReqsImport'!T:T))</f>
        <v>Green Systems Interface Register, Interface DGS-I_0328</v>
      </c>
      <c r="F35" s="71" t="str" cm="1">
        <f t="array" ref="F35">IF(_xlfn.XLOOKUP($A35,LEFT('EA-Fortescue_ReqsImport'!$A:$A,11),'EA-Fortescue_ReqsImport'!U:U)&lt;1,"",_xlfn.XLOOKUP($A35,LEFT('EA-Fortescue_ReqsImport'!$A:$A,11),'EA-Fortescue_ReqsImport'!U:U))</f>
        <v>Delphi</v>
      </c>
      <c r="G35" s="71" t="str" cm="1">
        <f t="array" ref="G35">IF(_xlfn.XLOOKUP($A35,LEFT('EA-Fortescue_ReqsImport'!$A:$A,11),'EA-Fortescue_ReqsImport'!V:V)&lt;1,"",_xlfn.XLOOKUP($A35,LEFT('EA-Fortescue_ReqsImport'!$A:$A,11),'EA-Fortescue_ReqsImport'!V:V))</f>
        <v>Historical forecast records support incident review and model calibration.</v>
      </c>
      <c r="H35" s="71" t="str" cm="1">
        <f t="array" ref="H35">IF(_xlfn.XLOOKUP($A35,LEFT('EA-Fortescue_ReqsImport'!$A:$A,11),'EA-Fortescue_ReqsImport'!W:W)&lt;1,"",_xlfn.XLOOKUP($A35,LEFT('EA-Fortescue_ReqsImport'!$A:$A,11),'EA-Fortescue_ReqsImport'!W:W))</f>
        <v>005OP-0000-005-005 Weatherzone|855DC-1541-DEL Delphi_x000D_
Project - Subsystem Interface_x000D_
Technical-Data/Software_x000D_
Weatherzone - Rain &amp; Lightning Forecasting (Snowflake Integration)_x000D_
The purpose of this interface is to allow Delphi to consume near-term rain and lightning forecast data provided by Weatherzone through Snowflake to support operator awareness and short-horizon planning. This information helps operators anticipate weather-driven impacts on operations, producing energy, manage risk, and adjust site activities proactively._x000D_
The criticality level is HIGH because timely rain and lightning forecasts are essential for maintaining safe and reliable operational planning. Failure risks safety and prevents proactive adjustment of site activities during volatile weather.</v>
      </c>
      <c r="I35" s="2"/>
      <c r="M35" s="71" t="str" cm="1">
        <f t="array" ref="M35">IF(_xlfn.XLOOKUP($A35,LEFT('EA-Fortescue_ReqsImport'!$A:$A,11),'EA-Fortescue_ReqsImport'!X:X)&lt;1,"",_xlfn.XLOOKUP($A35,LEFT('EA-Fortescue_ReqsImport'!$A:$A,11),'EA-Fortescue_ReqsImport'!X:X))</f>
        <v>Draft</v>
      </c>
    </row>
    <row r="36" spans="1:13" ht="153">
      <c r="A36" s="2" t="str">
        <v>GSP-IR-0035</v>
      </c>
      <c r="C36" s="71" t="str" cm="1">
        <f t="array" ref="C36">IF(_xlfn.XLOOKUP($A36,LEFT('EA-Fortescue_ReqsImport'!$A:$A,11),'EA-Fortescue_ReqsImport'!R:R)&lt;1,"",_xlfn.XLOOKUP($A36,LEFT('EA-Fortescue_ReqsImport'!$A:$A,11),'EA-Fortescue_ReqsImport'!R:R))</f>
        <v>The interface shall ingest real-time and historical solar irradiance measurements (W/m2) from the Atevia PI web API for the North Star Junction solar farm into Delphi.</v>
      </c>
      <c r="D36" s="71" t="str" cm="1">
        <f t="array" ref="D36">IF(_xlfn.XLOOKUP($A36,LEFT('EA-Fortescue_ReqsImport'!$A:$A,11),'EA-Fortescue_ReqsImport'!S:S)&lt;1,"",_xlfn.XLOOKUP($A36,LEFT('EA-Fortescue_ReqsImport'!$A:$A,11),'EA-Fortescue_ReqsImport'!S:S))</f>
        <v>Interface Requirement</v>
      </c>
      <c r="E36" s="71" t="str" cm="1">
        <f t="array" ref="E36">IF(_xlfn.XLOOKUP($A36,LEFT('EA-Fortescue_ReqsImport'!$A:$A,11),'EA-Fortescue_ReqsImport'!T:T)&lt;1,"",_xlfn.XLOOKUP($A36,LEFT('EA-Fortescue_ReqsImport'!$A:$A,11),'EA-Fortescue_ReqsImport'!T:T))</f>
        <v>Green Systems Interface Register, Interface DGS-I_0329</v>
      </c>
      <c r="F36" s="71" t="str" cm="1">
        <f t="array" ref="F36">IF(_xlfn.XLOOKUP($A36,LEFT('EA-Fortescue_ReqsImport'!$A:$A,11),'EA-Fortescue_ReqsImport'!U:U)&lt;1,"",_xlfn.XLOOKUP($A36,LEFT('EA-Fortescue_ReqsImport'!$A:$A,11),'EA-Fortescue_ReqsImport'!U:U))</f>
        <v>Delphi</v>
      </c>
      <c r="G36" s="71" t="str" cm="1">
        <f t="array" ref="G36">IF(_xlfn.XLOOKUP($A36,LEFT('EA-Fortescue_ReqsImport'!$A:$A,11),'EA-Fortescue_ReqsImport'!V:V)&lt;1,"",_xlfn.XLOOKUP($A36,LEFT('EA-Fortescue_ReqsImport'!$A:$A,11),'EA-Fortescue_ReqsImport'!V:V))</f>
        <v>Actual irradiance is necessary to understand solar resource availability and validate forecasts.</v>
      </c>
      <c r="H36" s="71" t="str" cm="1">
        <f t="array" ref="H36">IF(_xlfn.XLOOKUP($A36,LEFT('EA-Fortescue_ReqsImport'!$A:$A,11),'EA-Fortescue_ReqsImport'!W:W)&lt;1,"",_xlfn.XLOOKUP($A36,LEFT('EA-Fortescue_ReqsImport'!$A:$A,11),'EA-Fortescue_ReqsImport'!W:W))</f>
        <v>005OP-0000-005-006 Atevia (Solar NSJ)|855DC-1541-DEL Delphi_x000D_
Project - Subsystem Interface_x000D_
Technical-Data/Software_x000D_
Atevia PI - North Star Junction Solar Irradiance Actuals_x000D_
The purpose of this interface is for Eclipse to consume real-time and historical irradiance (W/m2) measurements provided by the Atevia PI web API from the North Star Junction solar farm. Eclipse uses this data to understand actual solar resource availability, validate forecast performance, and support short-term operational decisions for solar generation and Battery Energy Storage System (BESS) management._x000D_
The criticality level is HIGH because accurate irradiance actuals are essential for near-term operational awareness, forecast validation, and reliable solar generation planning. Failure can compromise short-term operational decisions.</v>
      </c>
      <c r="I36" s="2"/>
      <c r="M36" s="71" t="str" cm="1">
        <f t="array" ref="M36">IF(_xlfn.XLOOKUP($A36,LEFT('EA-Fortescue_ReqsImport'!$A:$A,11),'EA-Fortescue_ReqsImport'!X:X)&lt;1,"",_xlfn.XLOOKUP($A36,LEFT('EA-Fortescue_ReqsImport'!$A:$A,11),'EA-Fortescue_ReqsImport'!X:X))</f>
        <v>Draft</v>
      </c>
    </row>
    <row r="37" spans="1:13" ht="293.25">
      <c r="A37" s="2" t="str">
        <v>GSP-IR-0036</v>
      </c>
      <c r="C37" s="71" t="str" cm="1">
        <f t="array" ref="C37">IF(_xlfn.XLOOKUP($A37,LEFT('EA-Fortescue_ReqsImport'!$A:$A,11),'EA-Fortescue_ReqsImport'!R:R)&lt;1,"",_xlfn.XLOOKUP($A37,LEFT('EA-Fortescue_ReqsImport'!$A:$A,11),'EA-Fortescue_ReqsImport'!R:R))</f>
        <v>The interface shall provide irradiance data at a temporal resolution of 5 seconds or better, with end-to-end data latency not exceeding 2 seconds, to support short-term operational decisions for solar generation and Battery Energy Storage System (BESS) management.</v>
      </c>
      <c r="D37" s="71" t="str" cm="1">
        <f t="array" ref="D37">IF(_xlfn.XLOOKUP($A37,LEFT('EA-Fortescue_ReqsImport'!$A:$A,11),'EA-Fortescue_ReqsImport'!S:S)&lt;1,"",_xlfn.XLOOKUP($A37,LEFT('EA-Fortescue_ReqsImport'!$A:$A,11),'EA-Fortescue_ReqsImport'!S:S))</f>
        <v>Interface Requirement</v>
      </c>
      <c r="E37" s="71" t="str" cm="1">
        <f t="array" ref="E37">IF(_xlfn.XLOOKUP($A37,LEFT('EA-Fortescue_ReqsImport'!$A:$A,11),'EA-Fortescue_ReqsImport'!T:T)&lt;1,"",_xlfn.XLOOKUP($A37,LEFT('EA-Fortescue_ReqsImport'!$A:$A,11),'EA-Fortescue_ReqsImport'!T:T))</f>
        <v>Green Systems Interface Register, Interface DGS-I_0329</v>
      </c>
      <c r="F37" s="71" t="str" cm="1">
        <f t="array" ref="F37">IF(_xlfn.XLOOKUP($A37,LEFT('EA-Fortescue_ReqsImport'!$A:$A,11),'EA-Fortescue_ReqsImport'!U:U)&lt;1,"",_xlfn.XLOOKUP($A37,LEFT('EA-Fortescue_ReqsImport'!$A:$A,11),'EA-Fortescue_ReqsImport'!U:U))</f>
        <v>Delphi</v>
      </c>
      <c r="G37" s="71" t="str" cm="1">
        <f t="array" ref="G37">IF(_xlfn.XLOOKUP($A37,LEFT('EA-Fortescue_ReqsImport'!$A:$A,11),'EA-Fortescue_ReqsImport'!V:V)&lt;1,"",_xlfn.XLOOKUP($A37,LEFT('EA-Fortescue_ReqsImport'!$A:$A,11),'EA-Fortescue_ReqsImport'!V:V))</f>
        <v>Near-term decisions require up-to-date and granular irradiance data._x000D_
Temporal resolution refers to the frequency at which data is collected or updated over time. It defines how often measurements or data points are recorded within a specific period. High temporal resolution means data is captured at short, frequent intervals, providing more detailed information about changes over time. Conversely, low temporal resolution means data is collected at longer intervals, offering less detail about rapid variations._x000D_
For example, if weather data is updated every second, it has a high temporal resolution. If it's updated once an hour, the temporal resolution is low. Temporal resolution is critical in systems where timely data is essential for making real-time decisions, such as monitoring energy generation or controlling dynamic operations.</v>
      </c>
      <c r="H37" s="71" t="str" cm="1">
        <f t="array" ref="H37">IF(_xlfn.XLOOKUP($A37,LEFT('EA-Fortescue_ReqsImport'!$A:$A,11),'EA-Fortescue_ReqsImport'!W:W)&lt;1,"",_xlfn.XLOOKUP($A37,LEFT('EA-Fortescue_ReqsImport'!$A:$A,11),'EA-Fortescue_ReqsImport'!W:W))</f>
        <v>005OP-0000-005-006 Atevia (Solar NSJ)|855DC-1541-DEL Delphi_x000D_
Project - Subsystem Interface_x000D_
Technical-Data/Software_x000D_
Atevia PI - North Star Junction Solar Irradiance Actuals_x000D_
The purpose of this interface is for Eclipse to consume real-time and historical irradiance (W/m2) measurements provided by the Atevia PI web API from the North Star Junction solar farm. Eclipse uses this data to understand actual solar resource availability, validate forecast performance, and support short-term operational decisions for solar generation and Battery Energy Storage System (BESS) management._x000D_
The criticality level is HIGH because accurate irradiance actuals are essential for near-term operational awareness, forecast validation, and reliable solar generation planning. Failure can compromise short-term operational decisions.</v>
      </c>
      <c r="I37" s="2"/>
      <c r="M37" s="71" t="str" cm="1">
        <f t="array" ref="M37">IF(_xlfn.XLOOKUP($A37,LEFT('EA-Fortescue_ReqsImport'!$A:$A,11),'EA-Fortescue_ReqsImport'!X:X)&lt;1,"",_xlfn.XLOOKUP($A37,LEFT('EA-Fortescue_ReqsImport'!$A:$A,11),'EA-Fortescue_ReqsImport'!X:X))</f>
        <v>Draft</v>
      </c>
    </row>
    <row r="38" spans="1:13" ht="153">
      <c r="A38" s="2" t="str">
        <v>GSP-IR-0037</v>
      </c>
      <c r="C38" s="71" t="str" cm="1">
        <f t="array" ref="C38">IF(_xlfn.XLOOKUP($A38,LEFT('EA-Fortescue_ReqsImport'!$A:$A,11),'EA-Fortescue_ReqsImport'!R:R)&lt;1,"",_xlfn.XLOOKUP($A38,LEFT('EA-Fortescue_ReqsImport'!$A:$A,11),'EA-Fortescue_ReqsImport'!R:R))</f>
        <v>The interface shall route Atevia PI irradiance data through Delphi ingestion into Delphi Snowflake in a uni-directional manner.</v>
      </c>
      <c r="D38" s="71" t="str" cm="1">
        <f t="array" ref="D38">IF(_xlfn.XLOOKUP($A38,LEFT('EA-Fortescue_ReqsImport'!$A:$A,11),'EA-Fortescue_ReqsImport'!S:S)&lt;1,"",_xlfn.XLOOKUP($A38,LEFT('EA-Fortescue_ReqsImport'!$A:$A,11),'EA-Fortescue_ReqsImport'!S:S))</f>
        <v>Interface Requirement</v>
      </c>
      <c r="E38" s="71" t="str" cm="1">
        <f t="array" ref="E38">IF(_xlfn.XLOOKUP($A38,LEFT('EA-Fortescue_ReqsImport'!$A:$A,11),'EA-Fortescue_ReqsImport'!T:T)&lt;1,"",_xlfn.XLOOKUP($A38,LEFT('EA-Fortescue_ReqsImport'!$A:$A,11),'EA-Fortescue_ReqsImport'!T:T))</f>
        <v>Green Systems Interface Register, Interface DGS-I_0329</v>
      </c>
      <c r="F38" s="71" t="str" cm="1">
        <f t="array" ref="F38">IF(_xlfn.XLOOKUP($A38,LEFT('EA-Fortescue_ReqsImport'!$A:$A,11),'EA-Fortescue_ReqsImport'!U:U)&lt;1,"",_xlfn.XLOOKUP($A38,LEFT('EA-Fortescue_ReqsImport'!$A:$A,11),'EA-Fortescue_ReqsImport'!U:U))</f>
        <v>Delphi</v>
      </c>
      <c r="G38" s="71" t="str" cm="1">
        <f t="array" ref="G38">IF(_xlfn.XLOOKUP($A38,LEFT('EA-Fortescue_ReqsImport'!$A:$A,11),'EA-Fortescue_ReqsImport'!V:V)&lt;1,"",_xlfn.XLOOKUP($A38,LEFT('EA-Fortescue_ReqsImport'!$A:$A,11),'EA-Fortescue_ReqsImport'!V:V))</f>
        <v>This aligns with the defined architecture and prevents unintended write-back paths.</v>
      </c>
      <c r="H38" s="71" t="str" cm="1">
        <f t="array" ref="H38">IF(_xlfn.XLOOKUP($A38,LEFT('EA-Fortescue_ReqsImport'!$A:$A,11),'EA-Fortescue_ReqsImport'!W:W)&lt;1,"",_xlfn.XLOOKUP($A38,LEFT('EA-Fortescue_ReqsImport'!$A:$A,11),'EA-Fortescue_ReqsImport'!W:W))</f>
        <v>005OP-0000-005-006 Atevia (Solar NSJ)|855DC-1541-DEL Delphi_x000D_
Project - Subsystem Interface_x000D_
Technical-Data/Software_x000D_
Atevia PI - North Star Junction Solar Irradiance Actuals_x000D_
The purpose of this interface is for Eclipse to consume real-time and historical irradiance (W/m2) measurements provided by the Atevia PI web API from the North Star Junction solar farm. Eclipse uses this data to understand actual solar resource availability, validate forecast performance, and support short-term operational decisions for solar generation and Battery Energy Storage System (BESS) management._x000D_
The criticality level is HIGH because accurate irradiance actuals are essential for near-term operational awareness, forecast validation, and reliable solar generation planning. Failure can compromise short-term operational decisions.</v>
      </c>
      <c r="I38" s="2"/>
      <c r="M38" s="71" t="str" cm="1">
        <f t="array" ref="M38">IF(_xlfn.XLOOKUP($A38,LEFT('EA-Fortescue_ReqsImport'!$A:$A,11),'EA-Fortescue_ReqsImport'!X:X)&lt;1,"",_xlfn.XLOOKUP($A38,LEFT('EA-Fortescue_ReqsImport'!$A:$A,11),'EA-Fortescue_ReqsImport'!X:X))</f>
        <v>Draft</v>
      </c>
    </row>
    <row r="39" spans="1:13" ht="153">
      <c r="A39" s="2" t="str">
        <v>GSP-IR-0038</v>
      </c>
      <c r="C39" s="71" t="str" cm="1">
        <f t="array" ref="C39">IF(_xlfn.XLOOKUP($A39,LEFT('EA-Fortescue_ReqsImport'!$A:$A,11),'EA-Fortescue_ReqsImport'!R:R)&lt;1,"",_xlfn.XLOOKUP($A39,LEFT('EA-Fortescue_ReqsImport'!$A:$A,11),'EA-Fortescue_ReqsImport'!R:R))</f>
        <v>The interface shall detect and flag anomalous irradiance measurements, including zero or negative values during expected daylight periods.</v>
      </c>
      <c r="D39" s="71" t="str" cm="1">
        <f t="array" ref="D39">IF(_xlfn.XLOOKUP($A39,LEFT('EA-Fortescue_ReqsImport'!$A:$A,11),'EA-Fortescue_ReqsImport'!S:S)&lt;1,"",_xlfn.XLOOKUP($A39,LEFT('EA-Fortescue_ReqsImport'!$A:$A,11),'EA-Fortescue_ReqsImport'!S:S))</f>
        <v>Interface Requirement</v>
      </c>
      <c r="E39" s="71" t="str" cm="1">
        <f t="array" ref="E39">IF(_xlfn.XLOOKUP($A39,LEFT('EA-Fortescue_ReqsImport'!$A:$A,11),'EA-Fortescue_ReqsImport'!T:T)&lt;1,"",_xlfn.XLOOKUP($A39,LEFT('EA-Fortescue_ReqsImport'!$A:$A,11),'EA-Fortescue_ReqsImport'!T:T))</f>
        <v>Green Systems Interface Register, Interface DGS-I_0329</v>
      </c>
      <c r="F39" s="71" t="str" cm="1">
        <f t="array" ref="F39">IF(_xlfn.XLOOKUP($A39,LEFT('EA-Fortescue_ReqsImport'!$A:$A,11),'EA-Fortescue_ReqsImport'!U:U)&lt;1,"",_xlfn.XLOOKUP($A39,LEFT('EA-Fortescue_ReqsImport'!$A:$A,11),'EA-Fortescue_ReqsImport'!U:U))</f>
        <v>Delphi</v>
      </c>
      <c r="G39" s="71" t="str" cm="1">
        <f t="array" ref="G39">IF(_xlfn.XLOOKUP($A39,LEFT('EA-Fortescue_ReqsImport'!$A:$A,11),'EA-Fortescue_ReqsImport'!V:V)&lt;1,"",_xlfn.XLOOKUP($A39,LEFT('EA-Fortescue_ReqsImport'!$A:$A,11),'EA-Fortescue_ReqsImport'!V:V))</f>
        <v>Anomaly detection helps prevent erroneous operational and planning decisions.</v>
      </c>
      <c r="H39" s="71" t="str" cm="1">
        <f t="array" ref="H39">IF(_xlfn.XLOOKUP($A39,LEFT('EA-Fortescue_ReqsImport'!$A:$A,11),'EA-Fortescue_ReqsImport'!W:W)&lt;1,"",_xlfn.XLOOKUP($A39,LEFT('EA-Fortescue_ReqsImport'!$A:$A,11),'EA-Fortescue_ReqsImport'!W:W))</f>
        <v>005OP-0000-005-006 Atevia (Solar NSJ)|855DC-1541-DEL Delphi_x000D_
Project - Subsystem Interface_x000D_
Technical-Data/Software_x000D_
Atevia PI - North Star Junction Solar Irradiance Actuals_x000D_
The purpose of this interface is for Eclipse to consume real-time and historical irradiance (W/m2) measurements provided by the Atevia PI web API from the North Star Junction solar farm. Eclipse uses this data to understand actual solar resource availability, validate forecast performance, and support short-term operational decisions for solar generation and Battery Energy Storage System (BESS) management._x000D_
The criticality level is HIGH because accurate irradiance actuals are essential for near-term operational awareness, forecast validation, and reliable solar generation planning. Failure can compromise short-term operational decisions.</v>
      </c>
      <c r="I39" s="2"/>
      <c r="M39" s="71" t="str" cm="1">
        <f t="array" ref="M39">IF(_xlfn.XLOOKUP($A39,LEFT('EA-Fortescue_ReqsImport'!$A:$A,11),'EA-Fortescue_ReqsImport'!X:X)&lt;1,"",_xlfn.XLOOKUP($A39,LEFT('EA-Fortescue_ReqsImport'!$A:$A,11),'EA-Fortescue_ReqsImport'!X:X))</f>
        <v>Draft</v>
      </c>
    </row>
    <row r="40" spans="1:13" ht="165.75">
      <c r="A40" s="2" t="str">
        <v>GSP-IR-0039</v>
      </c>
      <c r="C40" s="71" t="str" cm="1">
        <f t="array" ref="C40">IF(_xlfn.XLOOKUP($A40,LEFT('EA-Fortescue_ReqsImport'!$A:$A,11),'EA-Fortescue_ReqsImport'!R:R)&lt;1,"",_xlfn.XLOOKUP($A40,LEFT('EA-Fortescue_ReqsImport'!$A:$A,11),'EA-Fortescue_ReqsImport'!R:R))</f>
        <v>The interface shall provide Delphi and Eclipse with up-to-date Bureau of Meteorology forecasts and actuals for wind, solar, rain, and lightning via Snowflake.</v>
      </c>
      <c r="D40" s="71" t="str" cm="1">
        <f t="array" ref="D40">IF(_xlfn.XLOOKUP($A40,LEFT('EA-Fortescue_ReqsImport'!$A:$A,11),'EA-Fortescue_ReqsImport'!S:S)&lt;1,"",_xlfn.XLOOKUP($A40,LEFT('EA-Fortescue_ReqsImport'!$A:$A,11),'EA-Fortescue_ReqsImport'!S:S))</f>
        <v>Interface Requirement</v>
      </c>
      <c r="E40" s="71" t="str" cm="1">
        <f t="array" ref="E40">IF(_xlfn.XLOOKUP($A40,LEFT('EA-Fortescue_ReqsImport'!$A:$A,11),'EA-Fortescue_ReqsImport'!T:T)&lt;1,"",_xlfn.XLOOKUP($A40,LEFT('EA-Fortescue_ReqsImport'!$A:$A,11),'EA-Fortescue_ReqsImport'!T:T))</f>
        <v>Green Systems Interface Register, Interface DGS-I_0326</v>
      </c>
      <c r="F40" s="71" t="str" cm="1">
        <f t="array" ref="F40">IF(_xlfn.XLOOKUP($A40,LEFT('EA-Fortescue_ReqsImport'!$A:$A,11),'EA-Fortescue_ReqsImport'!U:U)&lt;1,"",_xlfn.XLOOKUP($A40,LEFT('EA-Fortescue_ReqsImport'!$A:$A,11),'EA-Fortescue_ReqsImport'!U:U))</f>
        <v>Delphi</v>
      </c>
      <c r="G40" s="71" t="str" cm="1">
        <f t="array" ref="G40">IF(_xlfn.XLOOKUP($A40,LEFT('EA-Fortescue_ReqsImport'!$A:$A,11),'EA-Fortescue_ReqsImport'!V:V)&lt;1,"",_xlfn.XLOOKUP($A40,LEFT('EA-Fortescue_ReqsImport'!$A:$A,11),'EA-Fortescue_ReqsImport'!V:V))</f>
        <v>BOM data underpins the short-term planning cycle and long-term planning models.</v>
      </c>
      <c r="H40" s="71" t="str" cm="1">
        <f t="array" ref="H40">IF(_xlfn.XLOOKUP($A40,LEFT('EA-Fortescue_ReqsImport'!$A:$A,11),'EA-Fortescue_ReqsImport'!W:W)&lt;1,"",_xlfn.XLOOKUP($A40,LEFT('EA-Fortescue_ReqsImport'!$A:$A,11),'EA-Fortescue_ReqsImport'!W:W))</f>
        <v>BoM|855DC-1541-DEL Delphi_x000D_
External Software - Project Interface_x000D_
Technical-Data/Software_x000D_
Delphi data transfer through Snowflake (BOM API)_x000D_
The purpose of this interface is to provide Eclipse with up-to-date Bureau of Meteorology (BOM) weather forecasts and actuals to support the short-term planning cycle (up to 48 hours ahead) and to build long-term planning models from historical data. This weather data includes wind, solar, rain, and lightning. Additionally, Elysia Battery Energy Storage System (BESS) state of charge (SoC) actuals are provided to Delphi to support operational decisions regarding charging, discharging, and curtailment._x000D_
The criticality level is HIGH because failure to receive timely BOM forecast and actual weather data will cause near- and long-term mine plans to be inaccurate, severely compromising planning feasibility.</v>
      </c>
      <c r="I40" s="2"/>
      <c r="M40" s="71" t="str" cm="1">
        <f t="array" ref="M40">IF(_xlfn.XLOOKUP($A40,LEFT('EA-Fortescue_ReqsImport'!$A:$A,11),'EA-Fortescue_ReqsImport'!X:X)&lt;1,"",_xlfn.XLOOKUP($A40,LEFT('EA-Fortescue_ReqsImport'!$A:$A,11),'EA-Fortescue_ReqsImport'!X:X))</f>
        <v>Draft</v>
      </c>
    </row>
    <row r="41" spans="1:13" ht="165.75">
      <c r="A41" s="2" t="str">
        <v>GSP-IR-0040</v>
      </c>
      <c r="C41" s="71" t="str" cm="1">
        <f t="array" ref="C41">IF(_xlfn.XLOOKUP($A41,LEFT('EA-Fortescue_ReqsImport'!$A:$A,11),'EA-Fortescue_ReqsImport'!R:R)&lt;1,"",_xlfn.XLOOKUP($A41,LEFT('EA-Fortescue_ReqsImport'!$A:$A,11),'EA-Fortescue_ReqsImport'!R:R))</f>
        <v>The interface shall support short-term planning horizons of at least 48 hours ahead using BOM forecast data.</v>
      </c>
      <c r="D41" s="71" t="str" cm="1">
        <f t="array" ref="D41">IF(_xlfn.XLOOKUP($A41,LEFT('EA-Fortescue_ReqsImport'!$A:$A,11),'EA-Fortescue_ReqsImport'!S:S)&lt;1,"",_xlfn.XLOOKUP($A41,LEFT('EA-Fortescue_ReqsImport'!$A:$A,11),'EA-Fortescue_ReqsImport'!S:S))</f>
        <v>Interface Requirement</v>
      </c>
      <c r="E41" s="71" t="str" cm="1">
        <f t="array" ref="E41">IF(_xlfn.XLOOKUP($A41,LEFT('EA-Fortescue_ReqsImport'!$A:$A,11),'EA-Fortescue_ReqsImport'!T:T)&lt;1,"",_xlfn.XLOOKUP($A41,LEFT('EA-Fortescue_ReqsImport'!$A:$A,11),'EA-Fortescue_ReqsImport'!T:T))</f>
        <v>Green Systems Interface Register, Interface DGS-I_0326</v>
      </c>
      <c r="F41" s="71" t="str" cm="1">
        <f t="array" ref="F41">IF(_xlfn.XLOOKUP($A41,LEFT('EA-Fortescue_ReqsImport'!$A:$A,11),'EA-Fortescue_ReqsImport'!U:U)&lt;1,"",_xlfn.XLOOKUP($A41,LEFT('EA-Fortescue_ReqsImport'!$A:$A,11),'EA-Fortescue_ReqsImport'!U:U))</f>
        <v>Delphi</v>
      </c>
      <c r="G41" s="71" t="str" cm="1">
        <f t="array" ref="G41">IF(_xlfn.XLOOKUP($A41,LEFT('EA-Fortescue_ReqsImport'!$A:$A,11),'EA-Fortescue_ReqsImport'!V:V)&lt;1,"",_xlfn.XLOOKUP($A41,LEFT('EA-Fortescue_ReqsImport'!$A:$A,11),'EA-Fortescue_ReqsImport'!V:V))</f>
        <v>The stated planning cycle requires forecasts over this horizon.</v>
      </c>
      <c r="H41" s="71" t="str" cm="1">
        <f t="array" ref="H41">IF(_xlfn.XLOOKUP($A41,LEFT('EA-Fortescue_ReqsImport'!$A:$A,11),'EA-Fortescue_ReqsImport'!W:W)&lt;1,"",_xlfn.XLOOKUP($A41,LEFT('EA-Fortescue_ReqsImport'!$A:$A,11),'EA-Fortescue_ReqsImport'!W:W))</f>
        <v>BoM|855DC-1541-DEL Delphi_x000D_
External Software - Project Interface_x000D_
Technical-Data/Software_x000D_
Delphi data transfer through Snowflake (BOM API)_x000D_
The purpose of this interface is to provide Eclipse with up-to-date Bureau of Meteorology (BOM) weather forecasts and actuals to support the short-term planning cycle (up to 48 hours ahead) and to build long-term planning models from historical data. This weather data includes wind, solar, rain, and lightning. Additionally, Elysia Battery Energy Storage System (BESS) state of charge (SoC) actuals are provided to Delphi to support operational decisions regarding charging, discharging, and curtailment._x000D_
The criticality level is HIGH because failure to receive timely BOM forecast and actual weather data will cause near- and long-term mine plans to be inaccurate, severely compromising planning feasibility.</v>
      </c>
      <c r="I41" s="2"/>
      <c r="M41" s="71" t="str" cm="1">
        <f t="array" ref="M41">IF(_xlfn.XLOOKUP($A41,LEFT('EA-Fortescue_ReqsImport'!$A:$A,11),'EA-Fortescue_ReqsImport'!X:X)&lt;1,"",_xlfn.XLOOKUP($A41,LEFT('EA-Fortescue_ReqsImport'!$A:$A,11),'EA-Fortescue_ReqsImport'!X:X))</f>
        <v>Draft</v>
      </c>
    </row>
    <row r="42" spans="1:13" ht="165.75">
      <c r="A42" s="2" t="str">
        <v>GSP-IR-0041</v>
      </c>
      <c r="C42" s="71" t="str" cm="1">
        <f t="array" ref="C42">IF(_xlfn.XLOOKUP($A42,LEFT('EA-Fortescue_ReqsImport'!$A:$A,11),'EA-Fortescue_ReqsImport'!R:R)&lt;1,"",_xlfn.XLOOKUP($A42,LEFT('EA-Fortescue_ReqsImport'!$A:$A,11),'EA-Fortescue_ReqsImport'!R:R))</f>
        <v>The interface shall retain historical Bureau of Meteorology (BOM) forecast and actuals data for a minimum period of five years, ensuring data is accessible with a retrieval latency not exceeding 5 seconds per query, to support long-term planning model development and back-testing.</v>
      </c>
      <c r="D42" s="71" t="str" cm="1">
        <f t="array" ref="D42">IF(_xlfn.XLOOKUP($A42,LEFT('EA-Fortescue_ReqsImport'!$A:$A,11),'EA-Fortescue_ReqsImport'!S:S)&lt;1,"",_xlfn.XLOOKUP($A42,LEFT('EA-Fortescue_ReqsImport'!$A:$A,11),'EA-Fortescue_ReqsImport'!S:S))</f>
        <v>Interface Requirement</v>
      </c>
      <c r="E42" s="71" t="str" cm="1">
        <f t="array" ref="E42">IF(_xlfn.XLOOKUP($A42,LEFT('EA-Fortescue_ReqsImport'!$A:$A,11),'EA-Fortescue_ReqsImport'!T:T)&lt;1,"",_xlfn.XLOOKUP($A42,LEFT('EA-Fortescue_ReqsImport'!$A:$A,11),'EA-Fortescue_ReqsImport'!T:T))</f>
        <v>Green Systems Interface Register, Interface DGS-I_0326</v>
      </c>
      <c r="F42" s="71" t="str" cm="1">
        <f t="array" ref="F42">IF(_xlfn.XLOOKUP($A42,LEFT('EA-Fortescue_ReqsImport'!$A:$A,11),'EA-Fortescue_ReqsImport'!U:U)&lt;1,"",_xlfn.XLOOKUP($A42,LEFT('EA-Fortescue_ReqsImport'!$A:$A,11),'EA-Fortescue_ReqsImport'!U:U))</f>
        <v>Delphi</v>
      </c>
      <c r="G42" s="71" t="str" cm="1">
        <f t="array" ref="G42">IF(_xlfn.XLOOKUP($A42,LEFT('EA-Fortescue_ReqsImport'!$A:$A,11),'EA-Fortescue_ReqsImport'!V:V)&lt;1,"",_xlfn.XLOOKUP($A42,LEFT('EA-Fortescue_ReqsImport'!$A:$A,11),'EA-Fortescue_ReqsImport'!V:V))</f>
        <v>Historical BOM data is needed to build and refine long-term models.</v>
      </c>
      <c r="H42" s="71" t="str" cm="1">
        <f t="array" ref="H42">IF(_xlfn.XLOOKUP($A42,LEFT('EA-Fortescue_ReqsImport'!$A:$A,11),'EA-Fortescue_ReqsImport'!W:W)&lt;1,"",_xlfn.XLOOKUP($A42,LEFT('EA-Fortescue_ReqsImport'!$A:$A,11),'EA-Fortescue_ReqsImport'!W:W))</f>
        <v>BoM|855DC-1541-DEL Delphi_x000D_
External Software - Project Interface_x000D_
Technical-Data/Software_x000D_
Delphi data transfer through Snowflake (BOM API)_x000D_
The purpose of this interface is to provide Eclipse with up-to-date Bureau of Meteorology (BOM) weather forecasts and actuals to support the short-term planning cycle (up to 48 hours ahead) and to build long-term planning models from historical data. This weather data includes wind, solar, rain, and lightning. Additionally, Elysia Battery Energy Storage System (BESS) state of charge (SoC) actuals are provided to Delphi to support operational decisions regarding charging, discharging, and curtailment._x000D_
The criticality level is HIGH because failure to receive timely BOM forecast and actual weather data will cause near- and long-term mine plans to be inaccurate, severely compromising planning feasibility.</v>
      </c>
      <c r="I42" s="2"/>
      <c r="M42" s="71" t="str" cm="1">
        <f t="array" ref="M42">IF(_xlfn.XLOOKUP($A42,LEFT('EA-Fortescue_ReqsImport'!$A:$A,11),'EA-Fortescue_ReqsImport'!X:X)&lt;1,"",_xlfn.XLOOKUP($A42,LEFT('EA-Fortescue_ReqsImport'!$A:$A,11),'EA-Fortescue_ReqsImport'!X:X))</f>
        <v>Draft</v>
      </c>
    </row>
    <row r="43" spans="1:13" ht="165.75">
      <c r="A43" s="2" t="str">
        <v>GSP-IR-0042</v>
      </c>
      <c r="C43" s="71" t="str" cm="1">
        <f t="array" ref="C43">IF(_xlfn.XLOOKUP($A43,LEFT('EA-Fortescue_ReqsImport'!$A:$A,11),'EA-Fortescue_ReqsImport'!R:R)&lt;1,"",_xlfn.XLOOKUP($A43,LEFT('EA-Fortescue_ReqsImport'!$A:$A,11),'EA-Fortescue_ReqsImport'!R:R))</f>
        <v>The interface shall deliver Elysia BESS SoC actuals into Delphi where Bureau of Meteorology (BOM) data is used for operational decisions regarding charging, discharging, and curtailment.</v>
      </c>
      <c r="D43" s="71" t="str" cm="1">
        <f t="array" ref="D43">IF(_xlfn.XLOOKUP($A43,LEFT('EA-Fortescue_ReqsImport'!$A:$A,11),'EA-Fortescue_ReqsImport'!S:S)&lt;1,"",_xlfn.XLOOKUP($A43,LEFT('EA-Fortescue_ReqsImport'!$A:$A,11),'EA-Fortescue_ReqsImport'!S:S))</f>
        <v>Interface Requirement</v>
      </c>
      <c r="E43" s="71" t="str" cm="1">
        <f t="array" ref="E43">IF(_xlfn.XLOOKUP($A43,LEFT('EA-Fortescue_ReqsImport'!$A:$A,11),'EA-Fortescue_ReqsImport'!T:T)&lt;1,"",_xlfn.XLOOKUP($A43,LEFT('EA-Fortescue_ReqsImport'!$A:$A,11),'EA-Fortescue_ReqsImport'!T:T))</f>
        <v>Green Systems Interface Register, Interface DGS-I_0326</v>
      </c>
      <c r="F43" s="71" t="str" cm="1">
        <f t="array" ref="F43">IF(_xlfn.XLOOKUP($A43,LEFT('EA-Fortescue_ReqsImport'!$A:$A,11),'EA-Fortescue_ReqsImport'!U:U)&lt;1,"",_xlfn.XLOOKUP($A43,LEFT('EA-Fortescue_ReqsImport'!$A:$A,11),'EA-Fortescue_ReqsImport'!U:U))</f>
        <v>Delphi</v>
      </c>
      <c r="G43" s="71" t="str" cm="1">
        <f t="array" ref="G43">IF(_xlfn.XLOOKUP($A43,LEFT('EA-Fortescue_ReqsImport'!$A:$A,11),'EA-Fortescue_ReqsImport'!V:V)&lt;1,"",_xlfn.XLOOKUP($A43,LEFT('EA-Fortescue_ReqsImport'!$A:$A,11),'EA-Fortescue_ReqsImport'!V:V))</f>
        <v>Combining BOM and SoC information enables integrated operational decision-making.</v>
      </c>
      <c r="H43" s="71" t="str" cm="1">
        <f t="array" ref="H43">IF(_xlfn.XLOOKUP($A43,LEFT('EA-Fortescue_ReqsImport'!$A:$A,11),'EA-Fortescue_ReqsImport'!W:W)&lt;1,"",_xlfn.XLOOKUP($A43,LEFT('EA-Fortescue_ReqsImport'!$A:$A,11),'EA-Fortescue_ReqsImport'!W:W))</f>
        <v>BoM|855DC-1541-DEL Delphi_x000D_
External Software - Project Interface_x000D_
Technical-Data/Software_x000D_
Delphi data transfer through Snowflake (BOM API)_x000D_
The purpose of this interface is to provide Eclipse with up-to-date Bureau of Meteorology (BOM) weather forecasts and actuals to support the short-term planning cycle (up to 48 hours ahead) and to build long-term planning models from historical data. This weather data includes wind, solar, rain, and lightning. Additionally, Elysia Battery Energy Storage System (BESS) state of charge (SoC) actuals are provided to Delphi to support operational decisions regarding charging, discharging, and curtailment._x000D_
The criticality level is HIGH because failure to receive timely BOM forecast and actual weather data will cause near- and long-term mine plans to be inaccurate, severely compromising planning feasibility.</v>
      </c>
      <c r="I43" s="2"/>
      <c r="M43" s="71" t="str" cm="1">
        <f t="array" ref="M43">IF(_xlfn.XLOOKUP($A43,LEFT('EA-Fortescue_ReqsImport'!$A:$A,11),'EA-Fortescue_ReqsImport'!X:X)&lt;1,"",_xlfn.XLOOKUP($A43,LEFT('EA-Fortescue_ReqsImport'!$A:$A,11),'EA-Fortescue_ReqsImport'!X:X))</f>
        <v>Draft</v>
      </c>
    </row>
    <row r="44" spans="1:13" ht="140.25">
      <c r="A44" s="2" t="str">
        <v>GSP-IR-0043</v>
      </c>
      <c r="C44" s="71" t="str" cm="1">
        <f t="array" ref="C44">IF(_xlfn.XLOOKUP($A44,LEFT('EA-Fortescue_ReqsImport'!$A:$A,11),'EA-Fortescue_ReqsImport'!R:R)&lt;1,"",_xlfn.XLOOKUP($A44,LEFT('EA-Fortescue_ReqsImport'!$A:$A,11),'EA-Fortescue_ReqsImport'!R:R))</f>
        <v>The interface shall ingest high-resolution wind speed, direction, and gust forecasts from the Vaisala Wind Forecast API into Delphi via Snowflake.</v>
      </c>
      <c r="D44" s="71" t="str" cm="1">
        <f t="array" ref="D44">IF(_xlfn.XLOOKUP($A44,LEFT('EA-Fortescue_ReqsImport'!$A:$A,11),'EA-Fortescue_ReqsImport'!S:S)&lt;1,"",_xlfn.XLOOKUP($A44,LEFT('EA-Fortescue_ReqsImport'!$A:$A,11),'EA-Fortescue_ReqsImport'!S:S))</f>
        <v>Interface Requirement</v>
      </c>
      <c r="E44" s="71" t="str" cm="1">
        <f t="array" ref="E44">IF(_xlfn.XLOOKUP($A44,LEFT('EA-Fortescue_ReqsImport'!$A:$A,11),'EA-Fortescue_ReqsImport'!T:T)&lt;1,"",_xlfn.XLOOKUP($A44,LEFT('EA-Fortescue_ReqsImport'!$A:$A,11),'EA-Fortescue_ReqsImport'!T:T))</f>
        <v>Green Systems Interface Register, Interface DGS-I_0330</v>
      </c>
      <c r="F44" s="71" t="str" cm="1">
        <f t="array" ref="F44">IF(_xlfn.XLOOKUP($A44,LEFT('EA-Fortescue_ReqsImport'!$A:$A,11),'EA-Fortescue_ReqsImport'!U:U)&lt;1,"",_xlfn.XLOOKUP($A44,LEFT('EA-Fortescue_ReqsImport'!$A:$A,11),'EA-Fortescue_ReqsImport'!U:U))</f>
        <v>Delphi</v>
      </c>
      <c r="G44" s="71" t="str" cm="1">
        <f t="array" ref="G44">IF(_xlfn.XLOOKUP($A44,LEFT('EA-Fortescue_ReqsImport'!$A:$A,11),'EA-Fortescue_ReqsImport'!V:V)&lt;1,"",_xlfn.XLOOKUP($A44,LEFT('EA-Fortescue_ReqsImport'!$A:$A,11),'EA-Fortescue_ReqsImport'!V:V))</f>
        <v>These forecasts support short-term operational planning and generation management.</v>
      </c>
      <c r="H44" s="71" t="str" cm="1">
        <f t="array" ref="H44">IF(_xlfn.XLOOKUP($A44,LEFT('EA-Fortescue_ReqsImport'!$A:$A,11),'EA-Fortescue_ReqsImport'!W:W)&lt;1,"",_xlfn.XLOOKUP($A44,LEFT('EA-Fortescue_ReqsImport'!$A:$A,11),'EA-Fortescue_ReqsImport'!W:W))</f>
        <v>Vaisala|855DC-1541-DEL Delphi_x000D_
External Software - Project Interface_x000D_
Technical-Data/Software_x000D_
Vaisala -Wind Forecast API Integration_x000D_
The purpose of this interface is to allow Delphi to consume the high-resolution wind forecasting provided by Vaisala via API to support short-term operational planning. These forecasts - covering wind speed, direction, and gust information - help operators anticipate generation impacts, manage variability, and adjust site operations proactively._x000D_
The criticality level is HIGH because accurate and timely wind forecasts are essential for maintaining reliable operational planning. Failure risks safety considerations and prevents proactive management of wind-sensitive generation.</v>
      </c>
      <c r="I44" s="2"/>
      <c r="M44" s="71" t="str" cm="1">
        <f t="array" ref="M44">IF(_xlfn.XLOOKUP($A44,LEFT('EA-Fortescue_ReqsImport'!$A:$A,11),'EA-Fortescue_ReqsImport'!X:X)&lt;1,"",_xlfn.XLOOKUP($A44,LEFT('EA-Fortescue_ReqsImport'!$A:$A,11),'EA-Fortescue_ReqsImport'!X:X))</f>
        <v>Draft</v>
      </c>
    </row>
    <row r="45" spans="1:13" ht="140.25">
      <c r="A45" s="2" t="str">
        <v>GSP-IR-0044</v>
      </c>
      <c r="C45" s="71" t="str" cm="1">
        <f t="array" ref="C45">IF(_xlfn.XLOOKUP($A45,LEFT('EA-Fortescue_ReqsImport'!$A:$A,11),'EA-Fortescue_ReqsImport'!R:R)&lt;1,"",_xlfn.XLOOKUP($A45,LEFT('EA-Fortescue_ReqsImport'!$A:$A,11),'EA-Fortescue_ReqsImport'!R:R))</f>
        <v>The interface shall update Vaisala wind forecasts at a minimum cadence of once every 10 minutes, with end-to-end data latency not exceeding 2 minutes, to support proactive management of wind-sensitive generation and operations.</v>
      </c>
      <c r="D45" s="71" t="str" cm="1">
        <f t="array" ref="D45">IF(_xlfn.XLOOKUP($A45,LEFT('EA-Fortescue_ReqsImport'!$A:$A,11),'EA-Fortescue_ReqsImport'!S:S)&lt;1,"",_xlfn.XLOOKUP($A45,LEFT('EA-Fortescue_ReqsImport'!$A:$A,11),'EA-Fortescue_ReqsImport'!S:S))</f>
        <v>Interface Requirement</v>
      </c>
      <c r="E45" s="71" t="str" cm="1">
        <f t="array" ref="E45">IF(_xlfn.XLOOKUP($A45,LEFT('EA-Fortescue_ReqsImport'!$A:$A,11),'EA-Fortescue_ReqsImport'!T:T)&lt;1,"",_xlfn.XLOOKUP($A45,LEFT('EA-Fortescue_ReqsImport'!$A:$A,11),'EA-Fortescue_ReqsImport'!T:T))</f>
        <v>Green Systems Interface Register, Interface DGS-I_0330</v>
      </c>
      <c r="F45" s="71" t="str" cm="1">
        <f t="array" ref="F45">IF(_xlfn.XLOOKUP($A45,LEFT('EA-Fortescue_ReqsImport'!$A:$A,11),'EA-Fortescue_ReqsImport'!U:U)&lt;1,"",_xlfn.XLOOKUP($A45,LEFT('EA-Fortescue_ReqsImport'!$A:$A,11),'EA-Fortescue_ReqsImport'!U:U))</f>
        <v>Delphi</v>
      </c>
      <c r="G45" s="71" t="str" cm="1">
        <f t="array" ref="G45">IF(_xlfn.XLOOKUP($A45,LEFT('EA-Fortescue_ReqsImport'!$A:$A,11),'EA-Fortescue_ReqsImport'!V:V)&lt;1,"",_xlfn.XLOOKUP($A45,LEFT('EA-Fortescue_ReqsImport'!$A:$A,11),'EA-Fortescue_ReqsImport'!V:V))</f>
        <v>Timely updates are required to adjust site operations ahead of changing wind conditions.</v>
      </c>
      <c r="H45" s="71" t="str" cm="1">
        <f t="array" ref="H45">IF(_xlfn.XLOOKUP($A45,LEFT('EA-Fortescue_ReqsImport'!$A:$A,11),'EA-Fortescue_ReqsImport'!W:W)&lt;1,"",_xlfn.XLOOKUP($A45,LEFT('EA-Fortescue_ReqsImport'!$A:$A,11),'EA-Fortescue_ReqsImport'!W:W))</f>
        <v>Vaisala|855DC-1541-DEL Delphi_x000D_
External Software - Project Interface_x000D_
Technical-Data/Software_x000D_
Vaisala -Wind Forecast API Integration_x000D_
The purpose of this interface is to allow Delphi to consume the high-resolution wind forecasting provided by Vaisala via API to support short-term operational planning. These forecasts - covering wind speed, direction, and gust information - help operators anticipate generation impacts, manage variability, and adjust site operations proactively._x000D_
The criticality level is HIGH because accurate and timely wind forecasts are essential for maintaining reliable operational planning. Failure risks safety considerations and prevents proactive management of wind-sensitive generation.</v>
      </c>
      <c r="I45" s="2"/>
      <c r="M45" s="71" t="str" cm="1">
        <f t="array" ref="M45">IF(_xlfn.XLOOKUP($A45,LEFT('EA-Fortescue_ReqsImport'!$A:$A,11),'EA-Fortescue_ReqsImport'!X:X)&lt;1,"",_xlfn.XLOOKUP($A45,LEFT('EA-Fortescue_ReqsImport'!$A:$A,11),'EA-Fortescue_ReqsImport'!X:X))</f>
        <v>Draft</v>
      </c>
    </row>
    <row r="46" spans="1:13" ht="140.25">
      <c r="A46" s="2" t="str">
        <v>GSP-IR-0045</v>
      </c>
      <c r="C46" s="71" t="str" cm="1">
        <f t="array" ref="C46">IF(_xlfn.XLOOKUP($A46,LEFT('EA-Fortescue_ReqsImport'!$A:$A,11),'EA-Fortescue_ReqsImport'!R:R)&lt;1,"",_xlfn.XLOOKUP($A46,LEFT('EA-Fortescue_ReqsImport'!$A:$A,11),'EA-Fortescue_ReqsImport'!R:R))</f>
        <v>The interface shall route Vaisala forecast data through Delphi ingest into Delphi Snowflake in a uni-directional data flow.</v>
      </c>
      <c r="D46" s="71" t="str" cm="1">
        <f t="array" ref="D46">IF(_xlfn.XLOOKUP($A46,LEFT('EA-Fortescue_ReqsImport'!$A:$A,11),'EA-Fortescue_ReqsImport'!S:S)&lt;1,"",_xlfn.XLOOKUP($A46,LEFT('EA-Fortescue_ReqsImport'!$A:$A,11),'EA-Fortescue_ReqsImport'!S:S))</f>
        <v>Interface Requirement</v>
      </c>
      <c r="E46" s="71" t="str" cm="1">
        <f t="array" ref="E46">IF(_xlfn.XLOOKUP($A46,LEFT('EA-Fortescue_ReqsImport'!$A:$A,11),'EA-Fortescue_ReqsImport'!T:T)&lt;1,"",_xlfn.XLOOKUP($A46,LEFT('EA-Fortescue_ReqsImport'!$A:$A,11),'EA-Fortescue_ReqsImport'!T:T))</f>
        <v>Green Systems Interface Register, Interface DGS-I_0330</v>
      </c>
      <c r="F46" s="71" t="str" cm="1">
        <f t="array" ref="F46">IF(_xlfn.XLOOKUP($A46,LEFT('EA-Fortescue_ReqsImport'!$A:$A,11),'EA-Fortescue_ReqsImport'!U:U)&lt;1,"",_xlfn.XLOOKUP($A46,LEFT('EA-Fortescue_ReqsImport'!$A:$A,11),'EA-Fortescue_ReqsImport'!U:U))</f>
        <v>Delphi</v>
      </c>
      <c r="G46" s="71" t="str" cm="1">
        <f t="array" ref="G46">IF(_xlfn.XLOOKUP($A46,LEFT('EA-Fortescue_ReqsImport'!$A:$A,11),'EA-Fortescue_ReqsImport'!V:V)&lt;1,"",_xlfn.XLOOKUP($A46,LEFT('EA-Fortescue_ReqsImport'!$A:$A,11),'EA-Fortescue_ReqsImport'!V:V))</f>
        <v>This conforms to the planned data architecture and simplifies governance.</v>
      </c>
      <c r="H46" s="71" t="str" cm="1">
        <f t="array" ref="H46">IF(_xlfn.XLOOKUP($A46,LEFT('EA-Fortescue_ReqsImport'!$A:$A,11),'EA-Fortescue_ReqsImport'!W:W)&lt;1,"",_xlfn.XLOOKUP($A46,LEFT('EA-Fortescue_ReqsImport'!$A:$A,11),'EA-Fortescue_ReqsImport'!W:W))</f>
        <v>Vaisala|855DC-1541-DEL Delphi_x000D_
External Software - Project Interface_x000D_
Technical-Data/Software_x000D_
Vaisala -Wind Forecast API Integration_x000D_
The purpose of this interface is to allow Delphi to consume the high-resolution wind forecasting provided by Vaisala via API to support short-term operational planning. These forecasts - covering wind speed, direction, and gust information - help operators anticipate generation impacts, manage variability, and adjust site operations proactively._x000D_
The criticality level is HIGH because accurate and timely wind forecasts are essential for maintaining reliable operational planning. Failure risks safety considerations and prevents proactive management of wind-sensitive generation.</v>
      </c>
      <c r="I46" s="2"/>
      <c r="M46" s="71" t="str" cm="1">
        <f t="array" ref="M46">IF(_xlfn.XLOOKUP($A46,LEFT('EA-Fortescue_ReqsImport'!$A:$A,11),'EA-Fortescue_ReqsImport'!X:X)&lt;1,"",_xlfn.XLOOKUP($A46,LEFT('EA-Fortescue_ReqsImport'!$A:$A,11),'EA-Fortescue_ReqsImport'!X:X))</f>
        <v>Draft</v>
      </c>
    </row>
    <row r="47" spans="1:13" ht="140.25">
      <c r="A47" s="2" t="str">
        <v>GSP-IR-0046</v>
      </c>
      <c r="C47" s="71" t="str" cm="1">
        <f t="array" ref="C47">IF(_xlfn.XLOOKUP($A47,LEFT('EA-Fortescue_ReqsImport'!$A:$A,11),'EA-Fortescue_ReqsImport'!R:R)&lt;1,"",_xlfn.XLOOKUP($A47,LEFT('EA-Fortescue_ReqsImport'!$A:$A,11),'EA-Fortescue_ReqsImport'!R:R))</f>
        <v>The interface shall log and retain Vaisala forecast data for comparison against actuals and for model performance assessment.</v>
      </c>
      <c r="D47" s="71" t="str" cm="1">
        <f t="array" ref="D47">IF(_xlfn.XLOOKUP($A47,LEFT('EA-Fortescue_ReqsImport'!$A:$A,11),'EA-Fortescue_ReqsImport'!S:S)&lt;1,"",_xlfn.XLOOKUP($A47,LEFT('EA-Fortescue_ReqsImport'!$A:$A,11),'EA-Fortescue_ReqsImport'!S:S))</f>
        <v>Interface Requirement</v>
      </c>
      <c r="E47" s="71" t="str" cm="1">
        <f t="array" ref="E47">IF(_xlfn.XLOOKUP($A47,LEFT('EA-Fortescue_ReqsImport'!$A:$A,11),'EA-Fortescue_ReqsImport'!T:T)&lt;1,"",_xlfn.XLOOKUP($A47,LEFT('EA-Fortescue_ReqsImport'!$A:$A,11),'EA-Fortescue_ReqsImport'!T:T))</f>
        <v>Green Systems Interface Register, Interface DGS-I_0330</v>
      </c>
      <c r="F47" s="71" t="str" cm="1">
        <f t="array" ref="F47">IF(_xlfn.XLOOKUP($A47,LEFT('EA-Fortescue_ReqsImport'!$A:$A,11),'EA-Fortescue_ReqsImport'!U:U)&lt;1,"",_xlfn.XLOOKUP($A47,LEFT('EA-Fortescue_ReqsImport'!$A:$A,11),'EA-Fortescue_ReqsImport'!U:U))</f>
        <v>Delphi</v>
      </c>
      <c r="G47" s="71" t="str" cm="1">
        <f t="array" ref="G47">IF(_xlfn.XLOOKUP($A47,LEFT('EA-Fortescue_ReqsImport'!$A:$A,11),'EA-Fortescue_ReqsImport'!V:V)&lt;1,"",_xlfn.XLOOKUP($A47,LEFT('EA-Fortescue_ReqsImport'!$A:$A,11),'EA-Fortescue_ReqsImport'!V:V))</f>
        <v>Retention supports validation of forecast quality and continuous improvement.</v>
      </c>
      <c r="H47" s="71" t="str" cm="1">
        <f t="array" ref="H47">IF(_xlfn.XLOOKUP($A47,LEFT('EA-Fortescue_ReqsImport'!$A:$A,11),'EA-Fortescue_ReqsImport'!W:W)&lt;1,"",_xlfn.XLOOKUP($A47,LEFT('EA-Fortescue_ReqsImport'!$A:$A,11),'EA-Fortescue_ReqsImport'!W:W))</f>
        <v>Vaisala|855DC-1541-DEL Delphi_x000D_
External Software - Project Interface_x000D_
Technical-Data/Software_x000D_
Vaisala -Wind Forecast API Integration_x000D_
The purpose of this interface is to allow Delphi to consume the high-resolution wind forecasting provided by Vaisala via API to support short-term operational planning. These forecasts - covering wind speed, direction, and gust information - help operators anticipate generation impacts, manage variability, and adjust site operations proactively._x000D_
The criticality level is HIGH because accurate and timely wind forecasts are essential for maintaining reliable operational planning. Failure risks safety considerations and prevents proactive management of wind-sensitive generation.</v>
      </c>
      <c r="I47" s="2"/>
      <c r="M47" s="71" t="str" cm="1">
        <f t="array" ref="M47">IF(_xlfn.XLOOKUP($A47,LEFT('EA-Fortescue_ReqsImport'!$A:$A,11),'EA-Fortescue_ReqsImport'!X:X)&lt;1,"",_xlfn.XLOOKUP($A47,LEFT('EA-Fortescue_ReqsImport'!$A:$A,11),'EA-Fortescue_ReqsImport'!X:X))</f>
        <v>Draft</v>
      </c>
    </row>
    <row r="48" spans="1:13" ht="306.95" customHeight="1">
      <c r="A48" s="2" t="str">
        <v>GSP-IR-0047</v>
      </c>
      <c r="C48" s="71" t="str" cm="1">
        <f t="array" ref="C48">IF(_xlfn.XLOOKUP($A48,LEFT('EA-Fortescue_ReqsImport'!$A:$A,11),'EA-Fortescue_ReqsImport'!R:R)&lt;1,"",_xlfn.XLOOKUP($A48,LEFT('EA-Fortescue_ReqsImport'!$A:$A,11),'EA-Fortescue_ReqsImport'!R:R))</f>
        <v>The interface shall ingest wind forecast data from DNV into Delphi via Snowflake to support short-term and medium-term operational planning.</v>
      </c>
      <c r="D48" s="71" t="str" cm="1">
        <f t="array" ref="D48">IF(_xlfn.XLOOKUP($A48,LEFT('EA-Fortescue_ReqsImport'!$A:$A,11),'EA-Fortescue_ReqsImport'!S:S)&lt;1,"",_xlfn.XLOOKUP($A48,LEFT('EA-Fortescue_ReqsImport'!$A:$A,11),'EA-Fortescue_ReqsImport'!S:S))</f>
        <v>Interface Requirement</v>
      </c>
      <c r="E48" s="71" t="str" cm="1">
        <f t="array" ref="E48">IF(_xlfn.XLOOKUP($A48,LEFT('EA-Fortescue_ReqsImport'!$A:$A,11),'EA-Fortescue_ReqsImport'!T:T)&lt;1,"",_xlfn.XLOOKUP($A48,LEFT('EA-Fortescue_ReqsImport'!$A:$A,11),'EA-Fortescue_ReqsImport'!T:T))</f>
        <v>Green Systems Interface Register, Interface DGS-I_0332</v>
      </c>
      <c r="F48" s="71" t="str" cm="1">
        <f t="array" ref="F48">IF(_xlfn.XLOOKUP($A48,LEFT('EA-Fortescue_ReqsImport'!$A:$A,11),'EA-Fortescue_ReqsImport'!U:U)&lt;1,"",_xlfn.XLOOKUP($A48,LEFT('EA-Fortescue_ReqsImport'!$A:$A,11),'EA-Fortescue_ReqsImport'!U:U))</f>
        <v>Delphi</v>
      </c>
      <c r="G48" s="71" t="str" cm="1">
        <f t="array" ref="G48">IF(_xlfn.XLOOKUP($A48,LEFT('EA-Fortescue_ReqsImport'!$A:$A,11),'EA-Fortescue_ReqsImport'!V:V)&lt;1,"",_xlfn.XLOOKUP($A48,LEFT('EA-Fortescue_ReqsImport'!$A:$A,11),'EA-Fortescue_ReqsImport'!V:V))</f>
        <v>DNV provides an independent source of wind forecasts for planning confidence.</v>
      </c>
      <c r="H48" s="71" t="str" cm="1">
        <f t="array" ref="H48">IF(_xlfn.XLOOKUP($A48,LEFT('EA-Fortescue_ReqsImport'!$A:$A,11),'EA-Fortescue_ReqsImport'!W:W)&lt;1,"",_xlfn.XLOOKUP($A48,LEFT('EA-Fortescue_ReqsImport'!$A:$A,11),'EA-Fortescue_ReqsImport'!W:W))</f>
        <v>DNV|855DC-1541-DEL Delphi_x000D_
External Software - Project Interface_x000D_
Technical-Data/Software_x000D_
DNV - External Wind Forecast Provider_x000D_
The purpose of this interface is for Delphi to integrate with DNV to receive external wind forecast data in support of short-term and medium-term operational planning. These forecasts include wind speed, direction, and related metrics, enabling comparison against internal forecasts, improving confidence in planning decisions, and informing generation and curtailment strategies._x000D_
Intermediate Elements: Snowflake (storage and distribution of DNV wind forecast data)._x000D_
The criticality level is HIGH because independent, high-quality wind forecasts are important for validating internal models and reducing forecast risk. Failure impacts the reliability of generation and curtailment strategies.</v>
      </c>
      <c r="I48" s="2"/>
      <c r="M48" s="71" t="str" cm="1">
        <f t="array" ref="M48">IF(_xlfn.XLOOKUP($A48,LEFT('EA-Fortescue_ReqsImport'!$A:$A,11),'EA-Fortescue_ReqsImport'!X:X)&lt;1,"",_xlfn.XLOOKUP($A48,LEFT('EA-Fortescue_ReqsImport'!$A:$A,11),'EA-Fortescue_ReqsImport'!X:X))</f>
        <v>Draft</v>
      </c>
    </row>
    <row r="49" spans="1:13" ht="165.75">
      <c r="A49" s="2" t="str">
        <v>GSP-IR-0048</v>
      </c>
      <c r="C49" s="71" t="str" cm="1">
        <f t="array" ref="C49">IF(_xlfn.XLOOKUP($A49,LEFT('EA-Fortescue_ReqsImport'!$A:$A,11),'EA-Fortescue_ReqsImport'!R:R)&lt;1,"",_xlfn.XLOOKUP($A49,LEFT('EA-Fortescue_ReqsImport'!$A:$A,11),'EA-Fortescue_ReqsImport'!R:R))</f>
        <v>The interface must deliver DNV wind forecasts that include wind speed in meters per second (m/s), wind direction in degrees, and gust speed in meters per second (m/s). These forecasts should be updated every 10 minutes and use a consistent timestamp format. The system must ensure that the total data latency from the source to the interface does not exceed 2 minutes, allowing for direct quantitative comparison with internal forecast models.</v>
      </c>
      <c r="D49" s="71" t="str" cm="1">
        <f t="array" ref="D49">IF(_xlfn.XLOOKUP($A49,LEFT('EA-Fortescue_ReqsImport'!$A:$A,11),'EA-Fortescue_ReqsImport'!S:S)&lt;1,"",_xlfn.XLOOKUP($A49,LEFT('EA-Fortescue_ReqsImport'!$A:$A,11),'EA-Fortescue_ReqsImport'!S:S))</f>
        <v>Interface Requirement</v>
      </c>
      <c r="E49" s="71" t="str" cm="1">
        <f t="array" ref="E49">IF(_xlfn.XLOOKUP($A49,LEFT('EA-Fortescue_ReqsImport'!$A:$A,11),'EA-Fortescue_ReqsImport'!T:T)&lt;1,"",_xlfn.XLOOKUP($A49,LEFT('EA-Fortescue_ReqsImport'!$A:$A,11),'EA-Fortescue_ReqsImport'!T:T))</f>
        <v>Green Systems Interface Register, Interface DGS-I_0332</v>
      </c>
      <c r="F49" s="71" t="str" cm="1">
        <f t="array" ref="F49">IF(_xlfn.XLOOKUP($A49,LEFT('EA-Fortescue_ReqsImport'!$A:$A,11),'EA-Fortescue_ReqsImport'!U:U)&lt;1,"",_xlfn.XLOOKUP($A49,LEFT('EA-Fortescue_ReqsImport'!$A:$A,11),'EA-Fortescue_ReqsImport'!U:U))</f>
        <v>Delphi</v>
      </c>
      <c r="G49" s="71" t="str" cm="1">
        <f t="array" ref="G49">IF(_xlfn.XLOOKUP($A49,LEFT('EA-Fortescue_ReqsImport'!$A:$A,11),'EA-Fortescue_ReqsImport'!V:V)&lt;1,"",_xlfn.XLOOKUP($A49,LEFT('EA-Fortescue_ReqsImport'!$A:$A,11),'EA-Fortescue_ReqsImport'!V:V))</f>
        <v>Detailed forecasts are required to cross-check and validate internal forecasts.</v>
      </c>
      <c r="H49" s="71" t="str" cm="1">
        <f t="array" ref="H49">IF(_xlfn.XLOOKUP($A49,LEFT('EA-Fortescue_ReqsImport'!$A:$A,11),'EA-Fortescue_ReqsImport'!W:W)&lt;1,"",_xlfn.XLOOKUP($A49,LEFT('EA-Fortescue_ReqsImport'!$A:$A,11),'EA-Fortescue_ReqsImport'!W:W))</f>
        <v>DNV|855DC-1541-DEL Delphi_x000D_
External Software - Project Interface_x000D_
Technical-Data/Software_x000D_
DNV - External Wind Forecast Provider_x000D_
The purpose of this interface is for Delphi to integrate with DNV to receive external wind forecast data in support of short-term and medium-term operational planning. These forecasts include wind speed, direction, and related metrics, enabling comparison against internal forecasts, improving confidence in planning decisions, and informing generation and curtailment strategies._x000D_
Intermediate Elements: Snowflake (storage and distribution of DNV wind forecast data)._x000D_
The criticality level is HIGH because independent, high-quality wind forecasts are important for validating internal models and reducing forecast risk. Failure impacts the reliability of generation and curtailment strategies.</v>
      </c>
      <c r="I49" s="2"/>
      <c r="M49" s="71" t="str" cm="1">
        <f t="array" ref="M49">IF(_xlfn.XLOOKUP($A49,LEFT('EA-Fortescue_ReqsImport'!$A:$A,11),'EA-Fortescue_ReqsImport'!X:X)&lt;1,"",_xlfn.XLOOKUP($A49,LEFT('EA-Fortescue_ReqsImport'!$A:$A,11),'EA-Fortescue_ReqsImport'!X:X))</f>
        <v>Draft</v>
      </c>
    </row>
    <row r="50" spans="1:13" ht="165.75">
      <c r="A50" s="2" t="str">
        <v>GSP-IR-0049</v>
      </c>
      <c r="C50" s="71" t="str" cm="1">
        <f t="array" ref="C50">IF(_xlfn.XLOOKUP($A50,LEFT('EA-Fortescue_ReqsImport'!$A:$A,11),'EA-Fortescue_ReqsImport'!R:R)&lt;1,"",_xlfn.XLOOKUP($A50,LEFT('EA-Fortescue_ReqsImport'!$A:$A,11),'EA-Fortescue_ReqsImport'!R:R))</f>
        <v>The interface shall store DNV forecast data in Snowflake to enable historical comparison and assessment of forecast performance and risk.</v>
      </c>
      <c r="D50" s="71" t="str" cm="1">
        <f t="array" ref="D50">IF(_xlfn.XLOOKUP($A50,LEFT('EA-Fortescue_ReqsImport'!$A:$A,11),'EA-Fortescue_ReqsImport'!S:S)&lt;1,"",_xlfn.XLOOKUP($A50,LEFT('EA-Fortescue_ReqsImport'!$A:$A,11),'EA-Fortescue_ReqsImport'!S:S))</f>
        <v>Interface Requirement</v>
      </c>
      <c r="E50" s="71" t="str" cm="1">
        <f t="array" ref="E50">IF(_xlfn.XLOOKUP($A50,LEFT('EA-Fortescue_ReqsImport'!$A:$A,11),'EA-Fortescue_ReqsImport'!T:T)&lt;1,"",_xlfn.XLOOKUP($A50,LEFT('EA-Fortescue_ReqsImport'!$A:$A,11),'EA-Fortescue_ReqsImport'!T:T))</f>
        <v>Green Systems Interface Register, Interface DGS-I_0332</v>
      </c>
      <c r="F50" s="71" t="str" cm="1">
        <f t="array" ref="F50">IF(_xlfn.XLOOKUP($A50,LEFT('EA-Fortescue_ReqsImport'!$A:$A,11),'EA-Fortescue_ReqsImport'!U:U)&lt;1,"",_xlfn.XLOOKUP($A50,LEFT('EA-Fortescue_ReqsImport'!$A:$A,11),'EA-Fortescue_ReqsImport'!U:U))</f>
        <v>Delphi</v>
      </c>
      <c r="G50" s="71" t="str" cm="1">
        <f t="array" ref="G50">IF(_xlfn.XLOOKUP($A50,LEFT('EA-Fortescue_ReqsImport'!$A:$A,11),'EA-Fortescue_ReqsImport'!V:V)&lt;1,"",_xlfn.XLOOKUP($A50,LEFT('EA-Fortescue_ReqsImport'!$A:$A,11),'EA-Fortescue_ReqsImport'!V:V))</f>
        <v>Historical DNV data supports risk reduction and improved strategy selection.</v>
      </c>
      <c r="H50" s="71" t="str" cm="1">
        <f t="array" ref="H50">IF(_xlfn.XLOOKUP($A50,LEFT('EA-Fortescue_ReqsImport'!$A:$A,11),'EA-Fortescue_ReqsImport'!W:W)&lt;1,"",_xlfn.XLOOKUP($A50,LEFT('EA-Fortescue_ReqsImport'!$A:$A,11),'EA-Fortescue_ReqsImport'!W:W))</f>
        <v>DNV|855DC-1541-DEL Delphi_x000D_
External Software - Project Interface_x000D_
Technical-Data/Software_x000D_
DNV - External Wind Forecast Provider_x000D_
The purpose of this interface is for Delphi to integrate with DNV to receive external wind forecast data in support of short-term and medium-term operational planning. These forecasts include wind speed, direction, and related metrics, enabling comparison against internal forecasts, improving confidence in planning decisions, and informing generation and curtailment strategies._x000D_
Intermediate Elements: Snowflake (storage and distribution of DNV wind forecast data)._x000D_
The criticality level is HIGH because independent, high-quality wind forecasts are important for validating internal models and reducing forecast risk. Failure impacts the reliability of generation and curtailment strategies.</v>
      </c>
      <c r="I50" s="2"/>
      <c r="M50" s="71" t="str" cm="1">
        <f t="array" ref="M50">IF(_xlfn.XLOOKUP($A50,LEFT('EA-Fortescue_ReqsImport'!$A:$A,11),'EA-Fortescue_ReqsImport'!X:X)&lt;1,"",_xlfn.XLOOKUP($A50,LEFT('EA-Fortescue_ReqsImport'!$A:$A,11),'EA-Fortescue_ReqsImport'!X:X))</f>
        <v>Draft</v>
      </c>
    </row>
    <row r="51" spans="1:13" ht="165.75">
      <c r="A51" s="2" t="str">
        <v>GSP-IR-0050</v>
      </c>
      <c r="C51" s="71" t="str" cm="1">
        <f t="array" ref="C51">IF(_xlfn.XLOOKUP($A51,LEFT('EA-Fortescue_ReqsImport'!$A:$A,11),'EA-Fortescue_ReqsImport'!R:R)&lt;1,"",_xlfn.XLOOKUP($A51,LEFT('EA-Fortescue_ReqsImport'!$A:$A,11),'EA-Fortescue_ReqsImport'!R:R))</f>
        <v>The interface shall ensure a uni-directional data flow from DNV into Delphi Snowflake without external write-back.</v>
      </c>
      <c r="D51" s="71" t="str" cm="1">
        <f t="array" ref="D51">IF(_xlfn.XLOOKUP($A51,LEFT('EA-Fortescue_ReqsImport'!$A:$A,11),'EA-Fortescue_ReqsImport'!S:S)&lt;1,"",_xlfn.XLOOKUP($A51,LEFT('EA-Fortescue_ReqsImport'!$A:$A,11),'EA-Fortescue_ReqsImport'!S:S))</f>
        <v>Interface Requirement</v>
      </c>
      <c r="E51" s="71" t="str" cm="1">
        <f t="array" ref="E51">IF(_xlfn.XLOOKUP($A51,LEFT('EA-Fortescue_ReqsImport'!$A:$A,11),'EA-Fortescue_ReqsImport'!T:T)&lt;1,"",_xlfn.XLOOKUP($A51,LEFT('EA-Fortescue_ReqsImport'!$A:$A,11),'EA-Fortescue_ReqsImport'!T:T))</f>
        <v>Green Systems Interface Register, Interface DGS-I_0332</v>
      </c>
      <c r="F51" s="71" t="str" cm="1">
        <f t="array" ref="F51">IF(_xlfn.XLOOKUP($A51,LEFT('EA-Fortescue_ReqsImport'!$A:$A,11),'EA-Fortescue_ReqsImport'!U:U)&lt;1,"",_xlfn.XLOOKUP($A51,LEFT('EA-Fortescue_ReqsImport'!$A:$A,11),'EA-Fortescue_ReqsImport'!U:U))</f>
        <v>Delphi</v>
      </c>
      <c r="G51" s="71" t="str" cm="1">
        <f t="array" ref="G51">IF(_xlfn.XLOOKUP($A51,LEFT('EA-Fortescue_ReqsImport'!$A:$A,11),'EA-Fortescue_ReqsImport'!V:V)&lt;1,"",_xlfn.XLOOKUP($A51,LEFT('EA-Fortescue_ReqsImport'!$A:$A,11),'EA-Fortescue_ReqsImport'!V:V))</f>
        <v>One-way flow reduces integration risk and simplifies security controls.</v>
      </c>
      <c r="H51" s="71" t="str" cm="1">
        <f t="array" ref="H51">IF(_xlfn.XLOOKUP($A51,LEFT('EA-Fortescue_ReqsImport'!$A:$A,11),'EA-Fortescue_ReqsImport'!W:W)&lt;1,"",_xlfn.XLOOKUP($A51,LEFT('EA-Fortescue_ReqsImport'!$A:$A,11),'EA-Fortescue_ReqsImport'!W:W))</f>
        <v>DNV|855DC-1541-DEL Delphi_x000D_
External Software - Project Interface_x000D_
Technical-Data/Software_x000D_
DNV - External Wind Forecast Provider_x000D_
The purpose of this interface is for Delphi to integrate with DNV to receive external wind forecast data in support of short-term and medium-term operational planning. These forecasts include wind speed, direction, and related metrics, enabling comparison against internal forecasts, improving confidence in planning decisions, and informing generation and curtailment strategies._x000D_
Intermediate Elements: Snowflake (storage and distribution of DNV wind forecast data)._x000D_
The criticality level is HIGH because independent, high-quality wind forecasts are important for validating internal models and reducing forecast risk. Failure impacts the reliability of generation and curtailment strategies.</v>
      </c>
      <c r="I51" s="2"/>
      <c r="M51" s="71" t="str" cm="1">
        <f t="array" ref="M51">IF(_xlfn.XLOOKUP($A51,LEFT('EA-Fortescue_ReqsImport'!$A:$A,11),'EA-Fortescue_ReqsImport'!X:X)&lt;1,"",_xlfn.XLOOKUP($A51,LEFT('EA-Fortescue_ReqsImport'!$A:$A,11),'EA-Fortescue_ReqsImport'!X:X))</f>
        <v>Draft</v>
      </c>
    </row>
    <row r="52" spans="1:13" ht="285" customHeight="1">
      <c r="A52" s="2" t="str">
        <v>GSP-IR-0051</v>
      </c>
      <c r="C52" s="71" t="str" cm="1">
        <f t="array" ref="C52">IF(_xlfn.XLOOKUP($A52,LEFT('EA-Fortescue_ReqsImport'!$A:$A,11),'EA-Fortescue_ReqsImport'!R:R)&lt;1,"",_xlfn.XLOOKUP($A52,LEFT('EA-Fortescue_ReqsImport'!$A:$A,11),'EA-Fortescue_ReqsImport'!R:R))</f>
        <v>The interface shall surface SAP work order and equipment downtime data into Snowflake for consumption by Delphi and Eclipse.</v>
      </c>
      <c r="D52" s="71" t="str" cm="1">
        <f t="array" ref="D52">IF(_xlfn.XLOOKUP($A52,LEFT('EA-Fortescue_ReqsImport'!$A:$A,11),'EA-Fortescue_ReqsImport'!S:S)&lt;1,"",_xlfn.XLOOKUP($A52,LEFT('EA-Fortescue_ReqsImport'!$A:$A,11),'EA-Fortescue_ReqsImport'!S:S))</f>
        <v>Interface Requirement</v>
      </c>
      <c r="E52" s="71" t="str" cm="1">
        <f t="array" ref="E52">IF(_xlfn.XLOOKUP($A52,LEFT('EA-Fortescue_ReqsImport'!$A:$A,11),'EA-Fortescue_ReqsImport'!T:T)&lt;1,"",_xlfn.XLOOKUP($A52,LEFT('EA-Fortescue_ReqsImport'!$A:$A,11),'EA-Fortescue_ReqsImport'!T:T))</f>
        <v>Green Systems Interface Register, Interface DGS-I_0004</v>
      </c>
      <c r="F52" s="71" t="str" cm="1">
        <f t="array" ref="F52">IF(_xlfn.XLOOKUP($A52,LEFT('EA-Fortescue_ReqsImport'!$A:$A,11),'EA-Fortescue_ReqsImport'!U:U)&lt;1,"",_xlfn.XLOOKUP($A52,LEFT('EA-Fortescue_ReqsImport'!$A:$A,11),'EA-Fortescue_ReqsImport'!U:U))</f>
        <v>Delphi</v>
      </c>
      <c r="G52" s="71" t="str" cm="1">
        <f t="array" ref="G52">IF(_xlfn.XLOOKUP($A52,LEFT('EA-Fortescue_ReqsImport'!$A:$A,11),'EA-Fortescue_ReqsImport'!V:V)&lt;1,"",_xlfn.XLOOKUP($A52,LEFT('EA-Fortescue_ReqsImport'!$A:$A,11),'EA-Fortescue_ReqsImport'!V:V))</f>
        <v>Visibility of downtime supports better interpretation of production impacts and forecasts.</v>
      </c>
      <c r="H52" s="71" t="str" cm="1">
        <f t="array" ref="H52">IF(_xlfn.XLOOKUP($A52,LEFT('EA-Fortescue_ReqsImport'!$A:$A,11),'EA-Fortescue_ReqsImport'!W:W)&lt;1,"",_xlfn.XLOOKUP($A52,LEFT('EA-Fortescue_ReqsImport'!$A:$A,11),'EA-Fortescue_ReqsImport'!W:W))</f>
        <v>005OP-0000-012 SAP|855DC-1541-DEL Delphi_x000D_
Project - Project Interface_x000D_
Technical-Data/Software_x000D_
SAP Work Orders - Equipment Downtime &amp; Maintenance (Snowflake Integration)_x000D_
The purpose of this interface is to surface work order data from SAP in Snowflake so Eclipse can query and understand when in-field equipment (e.g., solar arrays, sensors) is down due to planned or unplanned events. This enables better correlation between asset performance, weather conditions, and operational constraints, including generation outages, planned maintenance, and sensor cleaning._x000D_
Intermediate Elements: Snowflake (storage and query layer for SAP work order and downtime history)._x000D_
The criticality level is HIGH because accurate visibility of equipment downtime is essential for interpreting production impacts and improving forecast accuracy. Failure risks inaccurate energy balance predictions, leading to inefficient generation control.</v>
      </c>
      <c r="I52" s="2"/>
      <c r="M52" s="71" t="str" cm="1">
        <f t="array" ref="M52">IF(_xlfn.XLOOKUP($A52,LEFT('EA-Fortescue_ReqsImport'!$A:$A,11),'EA-Fortescue_ReqsImport'!X:X)&lt;1,"",_xlfn.XLOOKUP($A52,LEFT('EA-Fortescue_ReqsImport'!$A:$A,11),'EA-Fortescue_ReqsImport'!X:X))</f>
        <v>Draft</v>
      </c>
    </row>
    <row r="53" spans="1:13" ht="178.5">
      <c r="A53" s="2" t="str">
        <v>GSP-IR-0052</v>
      </c>
      <c r="C53" s="71" t="str" cm="1">
        <f t="array" ref="C53">IF(_xlfn.XLOOKUP($A53,LEFT('EA-Fortescue_ReqsImport'!$A:$A,11),'EA-Fortescue_ReqsImport'!R:R)&lt;1,"",_xlfn.XLOOKUP($A53,LEFT('EA-Fortescue_ReqsImport'!$A:$A,11),'EA-Fortescue_ReqsImport'!R:R))</f>
        <v>The interface shall provide data on both planned and unplanned downtime events for in-field equipment related to generation and sensing (e.g., solar arrays, sensors). This data shall include the start and end timestamps, duration, cause of downtime (where applicable), and affected equipment identifiers. The interface shall update this information within 5 minutes of event detection or confirmation to support timely operational decision-making.</v>
      </c>
      <c r="D53" s="71" t="str" cm="1">
        <f t="array" ref="D53">IF(_xlfn.XLOOKUP($A53,LEFT('EA-Fortescue_ReqsImport'!$A:$A,11),'EA-Fortescue_ReqsImport'!S:S)&lt;1,"",_xlfn.XLOOKUP($A53,LEFT('EA-Fortescue_ReqsImport'!$A:$A,11),'EA-Fortescue_ReqsImport'!S:S))</f>
        <v>Interface Requirement</v>
      </c>
      <c r="E53" s="71" t="str" cm="1">
        <f t="array" ref="E53">IF(_xlfn.XLOOKUP($A53,LEFT('EA-Fortescue_ReqsImport'!$A:$A,11),'EA-Fortescue_ReqsImport'!T:T)&lt;1,"",_xlfn.XLOOKUP($A53,LEFT('EA-Fortescue_ReqsImport'!$A:$A,11),'EA-Fortescue_ReqsImport'!T:T))</f>
        <v>Green Systems Interface Register, Interface DGS-I_0004</v>
      </c>
      <c r="F53" s="71" t="str" cm="1">
        <f t="array" ref="F53">IF(_xlfn.XLOOKUP($A53,LEFT('EA-Fortescue_ReqsImport'!$A:$A,11),'EA-Fortescue_ReqsImport'!U:U)&lt;1,"",_xlfn.XLOOKUP($A53,LEFT('EA-Fortescue_ReqsImport'!$A:$A,11),'EA-Fortescue_ReqsImport'!U:U))</f>
        <v>Delphi</v>
      </c>
      <c r="G53" s="71" t="str" cm="1">
        <f t="array" ref="G53">IF(_xlfn.XLOOKUP($A53,LEFT('EA-Fortescue_ReqsImport'!$A:$A,11),'EA-Fortescue_ReqsImport'!V:V)&lt;1,"",_xlfn.XLOOKUP($A53,LEFT('EA-Fortescue_ReqsImport'!$A:$A,11),'EA-Fortescue_ReqsImport'!V:V))</f>
        <v>Both planned and unplanned events affect production and forecast accuracy.</v>
      </c>
      <c r="H53" s="71" t="str" cm="1">
        <f t="array" ref="H53">IF(_xlfn.XLOOKUP($A53,LEFT('EA-Fortescue_ReqsImport'!$A:$A,11),'EA-Fortescue_ReqsImport'!W:W)&lt;1,"",_xlfn.XLOOKUP($A53,LEFT('EA-Fortescue_ReqsImport'!$A:$A,11),'EA-Fortescue_ReqsImport'!W:W))</f>
        <v>005OP-0000-012 SAP|855DC-1541-DEL Delphi_x000D_
Project - Project Interface_x000D_
Technical-Data/Software_x000D_
SAP Work Orders - Equipment Downtime &amp; Maintenance (Snowflake Integration)_x000D_
The purpose of this interface is to surface work order data from SAP in Snowflake so Eclipse can query and understand when in-field equipment (e.g., solar arrays, sensors) is down due to planned or unplanned events. This enables better correlation between asset performance, weather conditions, and operational constraints, including generation outages, planned maintenance, and sensor cleaning._x000D_
Intermediate Elements: Snowflake (storage and query layer for SAP work order and downtime history)._x000D_
The criticality level is HIGH because accurate visibility of equipment downtime is essential for interpreting production impacts and improving forecast accuracy. Failure risks inaccurate energy balance predictions, leading to inefficient generation control.</v>
      </c>
      <c r="I53" s="2"/>
      <c r="M53" s="71" t="str" cm="1">
        <f t="array" ref="M53">IF(_xlfn.XLOOKUP($A53,LEFT('EA-Fortescue_ReqsImport'!$A:$A,11),'EA-Fortescue_ReqsImport'!X:X)&lt;1,"",_xlfn.XLOOKUP($A53,LEFT('EA-Fortescue_ReqsImport'!$A:$A,11),'EA-Fortescue_ReqsImport'!X:X))</f>
        <v>Draft</v>
      </c>
    </row>
    <row r="54" spans="1:13" ht="178.5">
      <c r="A54" s="2" t="str">
        <v>GSP-IR-0053</v>
      </c>
      <c r="C54" s="71" t="str" cm="1">
        <f t="array" ref="C54">IF(_xlfn.XLOOKUP($A54,LEFT('EA-Fortescue_ReqsImport'!$A:$A,11),'EA-Fortescue_ReqsImport'!R:R)&lt;1,"",_xlfn.XLOOKUP($A54,LEFT('EA-Fortescue_ReqsImport'!$A:$A,11),'EA-Fortescue_ReqsImport'!R:R))</f>
        <v>The interface shall retain historical work order and equipment downtime records for a minimum period of five (5) years. These records shall include detailed timestamps, event types, and unique asset identifiers. The data must be retrievable with a maximum query response time of five (5) seconds to support correlation with weather patterns, production data, and operational constraints for analysis and decision-making purposes.</v>
      </c>
      <c r="D54" s="71" t="str" cm="1">
        <f t="array" ref="D54">IF(_xlfn.XLOOKUP($A54,LEFT('EA-Fortescue_ReqsImport'!$A:$A,11),'EA-Fortescue_ReqsImport'!S:S)&lt;1,"",_xlfn.XLOOKUP($A54,LEFT('EA-Fortescue_ReqsImport'!$A:$A,11),'EA-Fortescue_ReqsImport'!S:S))</f>
        <v>Interface Requirement</v>
      </c>
      <c r="E54" s="71" t="str" cm="1">
        <f t="array" ref="E54">IF(_xlfn.XLOOKUP($A54,LEFT('EA-Fortescue_ReqsImport'!$A:$A,11),'EA-Fortescue_ReqsImport'!T:T)&lt;1,"",_xlfn.XLOOKUP($A54,LEFT('EA-Fortescue_ReqsImport'!$A:$A,11),'EA-Fortescue_ReqsImport'!T:T))</f>
        <v>Green Systems Interface Register, Interface DGS-I_0004</v>
      </c>
      <c r="F54" s="71" t="str" cm="1">
        <f t="array" ref="F54">IF(_xlfn.XLOOKUP($A54,LEFT('EA-Fortescue_ReqsImport'!$A:$A,11),'EA-Fortescue_ReqsImport'!U:U)&lt;1,"",_xlfn.XLOOKUP($A54,LEFT('EA-Fortescue_ReqsImport'!$A:$A,11),'EA-Fortescue_ReqsImport'!U:U))</f>
        <v>Delphi</v>
      </c>
      <c r="G54" s="71" t="str" cm="1">
        <f t="array" ref="G54">IF(_xlfn.XLOOKUP($A54,LEFT('EA-Fortescue_ReqsImport'!$A:$A,11),'EA-Fortescue_ReqsImport'!V:V)&lt;1,"",_xlfn.XLOOKUP($A54,LEFT('EA-Fortescue_ReqsImport'!$A:$A,11),'EA-Fortescue_ReqsImport'!V:V))</f>
        <v>Historical context improves analysis of performance and outages.</v>
      </c>
      <c r="H54" s="71" t="str" cm="1">
        <f t="array" ref="H54">IF(_xlfn.XLOOKUP($A54,LEFT('EA-Fortescue_ReqsImport'!$A:$A,11),'EA-Fortescue_ReqsImport'!W:W)&lt;1,"",_xlfn.XLOOKUP($A54,LEFT('EA-Fortescue_ReqsImport'!$A:$A,11),'EA-Fortescue_ReqsImport'!W:W))</f>
        <v>005OP-0000-012 SAP|855DC-1541-DEL Delphi_x000D_
Project - Project Interface_x000D_
Technical-Data/Software_x000D_
SAP Work Orders - Equipment Downtime &amp; Maintenance (Snowflake Integration)_x000D_
The purpose of this interface is to surface work order data from SAP in Snowflake so Eclipse can query and understand when in-field equipment (e.g., solar arrays, sensors) is down due to planned or unplanned events. This enables better correlation between asset performance, weather conditions, and operational constraints, including generation outages, planned maintenance, and sensor cleaning._x000D_
Intermediate Elements: Snowflake (storage and query layer for SAP work order and downtime history)._x000D_
The criticality level is HIGH because accurate visibility of equipment downtime is essential for interpreting production impacts and improving forecast accuracy. Failure risks inaccurate energy balance predictions, leading to inefficient generation control.</v>
      </c>
      <c r="I54" s="2"/>
      <c r="M54" s="71" t="str" cm="1">
        <f t="array" ref="M54">IF(_xlfn.XLOOKUP($A54,LEFT('EA-Fortescue_ReqsImport'!$A:$A,11),'EA-Fortescue_ReqsImport'!X:X)&lt;1,"",_xlfn.XLOOKUP($A54,LEFT('EA-Fortescue_ReqsImport'!$A:$A,11),'EA-Fortescue_ReqsImport'!X:X))</f>
        <v>Draft</v>
      </c>
    </row>
    <row r="55" spans="1:13" ht="178.5">
      <c r="A55" s="2" t="str">
        <v>GSP-IR-0054</v>
      </c>
      <c r="C55" s="71" t="str" cm="1">
        <f t="array" ref="C55">IF(_xlfn.XLOOKUP($A55,LEFT('EA-Fortescue_ReqsImport'!$A:$A,11),'EA-Fortescue_ReqsImport'!R:R)&lt;1,"",_xlfn.XLOOKUP($A55,LEFT('EA-Fortescue_ReqsImport'!$A:$A,11),'EA-Fortescue_ReqsImport'!R:R))</f>
        <v>The interface shall ensure that SAP work order data is kept consistent with the source SAP database, including handling of updates and closures.</v>
      </c>
      <c r="D55" s="71" t="str" cm="1">
        <f t="array" ref="D55">IF(_xlfn.XLOOKUP($A55,LEFT('EA-Fortescue_ReqsImport'!$A:$A,11),'EA-Fortescue_ReqsImport'!S:S)&lt;1,"",_xlfn.XLOOKUP($A55,LEFT('EA-Fortescue_ReqsImport'!$A:$A,11),'EA-Fortescue_ReqsImport'!S:S))</f>
        <v>Interface Requirement</v>
      </c>
      <c r="E55" s="71" t="str" cm="1">
        <f t="array" ref="E55">IF(_xlfn.XLOOKUP($A55,LEFT('EA-Fortescue_ReqsImport'!$A:$A,11),'EA-Fortescue_ReqsImport'!T:T)&lt;1,"",_xlfn.XLOOKUP($A55,LEFT('EA-Fortescue_ReqsImport'!$A:$A,11),'EA-Fortescue_ReqsImport'!T:T))</f>
        <v>Green Systems Interface Register, Interface DGS-I_0004</v>
      </c>
      <c r="F55" s="71" t="str" cm="1">
        <f t="array" ref="F55">IF(_xlfn.XLOOKUP($A55,LEFT('EA-Fortescue_ReqsImport'!$A:$A,11),'EA-Fortescue_ReqsImport'!U:U)&lt;1,"",_xlfn.XLOOKUP($A55,LEFT('EA-Fortescue_ReqsImport'!$A:$A,11),'EA-Fortescue_ReqsImport'!U:U))</f>
        <v>Delphi</v>
      </c>
      <c r="G55" s="71" t="str" cm="1">
        <f t="array" ref="G55">IF(_xlfn.XLOOKUP($A55,LEFT('EA-Fortescue_ReqsImport'!$A:$A,11),'EA-Fortescue_ReqsImport'!V:V)&lt;1,"",_xlfn.XLOOKUP($A55,LEFT('EA-Fortescue_ReqsImport'!$A:$A,11),'EA-Fortescue_ReqsImport'!V:V))</f>
        <v>Consistency is required to avoid mismatches between operational and analytics views.</v>
      </c>
      <c r="H55" s="71" t="str" cm="1">
        <f t="array" ref="H55">IF(_xlfn.XLOOKUP($A55,LEFT('EA-Fortescue_ReqsImport'!$A:$A,11),'EA-Fortescue_ReqsImport'!W:W)&lt;1,"",_xlfn.XLOOKUP($A55,LEFT('EA-Fortescue_ReqsImport'!$A:$A,11),'EA-Fortescue_ReqsImport'!W:W))</f>
        <v>005OP-0000-012 SAP|855DC-1541-DEL Delphi_x000D_
Project - Project Interface_x000D_
Technical-Data/Software_x000D_
SAP Work Orders - Equipment Downtime &amp; Maintenance (Snowflake Integration)_x000D_
The purpose of this interface is to surface work order data from SAP in Snowflake so Eclipse can query and understand when in-field equipment (e.g., solar arrays, sensors) is down due to planned or unplanned events. This enables better correlation between asset performance, weather conditions, and operational constraints, including generation outages, planned maintenance, and sensor cleaning._x000D_
Intermediate Elements: Snowflake (storage and query layer for SAP work order and downtime history)._x000D_
The criticality level is HIGH because accurate visibility of equipment downtime is essential for interpreting production impacts and improving forecast accuracy. Failure risks inaccurate energy balance predictions, leading to inefficient generation control.</v>
      </c>
      <c r="I55" s="2"/>
      <c r="M55" s="71" t="str" cm="1">
        <f t="array" ref="M55">IF(_xlfn.XLOOKUP($A55,LEFT('EA-Fortescue_ReqsImport'!$A:$A,11),'EA-Fortescue_ReqsImport'!X:X)&lt;1,"",_xlfn.XLOOKUP($A55,LEFT('EA-Fortescue_ReqsImport'!$A:$A,11),'EA-Fortescue_ReqsImport'!X:X))</f>
        <v>Draft</v>
      </c>
    </row>
    <row r="56" spans="1:13" ht="76.5">
      <c r="A56" s="2" t="str">
        <v>GSP-IR-0055</v>
      </c>
      <c r="C56" s="71" t="str" cm="1">
        <f t="array" ref="C56">IF(_xlfn.XLOOKUP($A56,LEFT('EA-Fortescue_ReqsImport'!$A:$A,11),'EA-Fortescue_ReqsImport'!R:R)&lt;1,"",_xlfn.XLOOKUP($A56,LEFT('EA-Fortescue_ReqsImport'!$A:$A,11),'EA-Fortescue_ReqsImport'!R:R))</f>
        <v>The interface shall support exchange of load-forecast-related data between Delphi and MECO while MECO retains any residual forecasting responsibilities.</v>
      </c>
      <c r="D56" s="71" t="str" cm="1">
        <f t="array" ref="D56">IF(_xlfn.XLOOKUP($A56,LEFT('EA-Fortescue_ReqsImport'!$A:$A,11),'EA-Fortescue_ReqsImport'!S:S)&lt;1,"",_xlfn.XLOOKUP($A56,LEFT('EA-Fortescue_ReqsImport'!$A:$A,11),'EA-Fortescue_ReqsImport'!S:S))</f>
        <v>Interface Requirement</v>
      </c>
      <c r="E56" s="71" t="str" cm="1">
        <f t="array" ref="E56">IF(_xlfn.XLOOKUP($A56,LEFT('EA-Fortescue_ReqsImport'!$A:$A,11),'EA-Fortescue_ReqsImport'!T:T)&lt;1,"",_xlfn.XLOOKUP($A56,LEFT('EA-Fortescue_ReqsImport'!$A:$A,11),'EA-Fortescue_ReqsImport'!T:T))</f>
        <v>Green Systems Interface Register, Interface DGS-I_0005</v>
      </c>
      <c r="F56" s="71" t="str" cm="1">
        <f t="array" ref="F56">IF(_xlfn.XLOOKUP($A56,LEFT('EA-Fortescue_ReqsImport'!$A:$A,11),'EA-Fortescue_ReqsImport'!U:U)&lt;1,"",_xlfn.XLOOKUP($A56,LEFT('EA-Fortescue_ReqsImport'!$A:$A,11),'EA-Fortescue_ReqsImport'!U:U))</f>
        <v>Delphi</v>
      </c>
      <c r="G56" s="71" t="str" cm="1">
        <f t="array" ref="G56">IF(_xlfn.XLOOKUP($A56,LEFT('EA-Fortescue_ReqsImport'!$A:$A,11),'EA-Fortescue_ReqsImport'!V:V)&lt;1,"",_xlfn.XLOOKUP($A56,LEFT('EA-Fortescue_ReqsImport'!$A:$A,11),'EA-Fortescue_ReqsImport'!V:V))</f>
        <v>Transitional arrangements must allow both systems to participate in forecasting as required.</v>
      </c>
      <c r="H56" s="71" t="str" cm="1">
        <f t="array" ref="H56">IF(_xlfn.XLOOKUP($A56,LEFT('EA-Fortescue_ReqsImport'!$A:$A,11),'EA-Fortescue_ReqsImport'!W:W)&lt;1,"",_xlfn.XLOOKUP($A56,LEFT('EA-Fortescue_ReqsImport'!$A:$A,11),'EA-Fortescue_ReqsImport'!W:W))</f>
        <v>855DC-1541-DEL Delphi|855DC-1543-007 MECO_x000D_
Project - Subsystem Interface_x000D_
_x000D_
Interface Review 25/11/2025: Meco functionality of load forecasting might now be a subsystem of Delphi._x000D_
N/A</v>
      </c>
      <c r="I56" s="2"/>
      <c r="M56" s="71" t="str" cm="1">
        <f t="array" ref="M56">IF(_xlfn.XLOOKUP($A56,LEFT('EA-Fortescue_ReqsImport'!$A:$A,11),'EA-Fortescue_ReqsImport'!X:X)&lt;1,"",_xlfn.XLOOKUP($A56,LEFT('EA-Fortescue_ReqsImport'!$A:$A,11),'EA-Fortescue_ReqsImport'!X:X))</f>
        <v>Draft</v>
      </c>
    </row>
    <row r="57" spans="1:13" ht="76.5">
      <c r="A57" s="2" t="str">
        <v>GSP-IR-0056</v>
      </c>
      <c r="C57" s="71" t="str" cm="1">
        <f t="array" ref="C57">IF(_xlfn.XLOOKUP($A57,LEFT('EA-Fortescue_ReqsImport'!$A:$A,11),'EA-Fortescue_ReqsImport'!R:R)&lt;1,"",_xlfn.XLOOKUP($A57,LEFT('EA-Fortescue_ReqsImport'!$A:$A,11),'EA-Fortescue_ReqsImport'!R:R))</f>
        <v>The interface shall be designed to accommodate a future configuration in which MECO load-forecasting functionality becomes a subsystem of Delphi.</v>
      </c>
      <c r="D57" s="71" t="str" cm="1">
        <f t="array" ref="D57">IF(_xlfn.XLOOKUP($A57,LEFT('EA-Fortescue_ReqsImport'!$A:$A,11),'EA-Fortescue_ReqsImport'!S:S)&lt;1,"",_xlfn.XLOOKUP($A57,LEFT('EA-Fortescue_ReqsImport'!$A:$A,11),'EA-Fortescue_ReqsImport'!S:S))</f>
        <v>Interface Requirement</v>
      </c>
      <c r="E57" s="71" t="str" cm="1">
        <f t="array" ref="E57">IF(_xlfn.XLOOKUP($A57,LEFT('EA-Fortescue_ReqsImport'!$A:$A,11),'EA-Fortescue_ReqsImport'!T:T)&lt;1,"",_xlfn.XLOOKUP($A57,LEFT('EA-Fortescue_ReqsImport'!$A:$A,11),'EA-Fortescue_ReqsImport'!T:T))</f>
        <v>Green Systems Interface Register, Interface DGS-I_0005</v>
      </c>
      <c r="F57" s="71" t="str" cm="1">
        <f t="array" ref="F57">IF(_xlfn.XLOOKUP($A57,LEFT('EA-Fortescue_ReqsImport'!$A:$A,11),'EA-Fortescue_ReqsImport'!U:U)&lt;1,"",_xlfn.XLOOKUP($A57,LEFT('EA-Fortescue_ReqsImport'!$A:$A,11),'EA-Fortescue_ReqsImport'!U:U))</f>
        <v>Delphi</v>
      </c>
      <c r="G57" s="71" t="str" cm="1">
        <f t="array" ref="G57">IF(_xlfn.XLOOKUP($A57,LEFT('EA-Fortescue_ReqsImport'!$A:$A,11),'EA-Fortescue_ReqsImport'!V:V)&lt;1,"",_xlfn.XLOOKUP($A57,LEFT('EA-Fortescue_ReqsImport'!$A:$A,11),'EA-Fortescue_ReqsImport'!V:V))</f>
        <v>Forward compatibility reduces rework when roles are consolidated.</v>
      </c>
      <c r="H57" s="71" t="str" cm="1">
        <f t="array" ref="H57">IF(_xlfn.XLOOKUP($A57,LEFT('EA-Fortescue_ReqsImport'!$A:$A,11),'EA-Fortescue_ReqsImport'!W:W)&lt;1,"",_xlfn.XLOOKUP($A57,LEFT('EA-Fortescue_ReqsImport'!$A:$A,11),'EA-Fortescue_ReqsImport'!W:W))</f>
        <v>855DC-1541-DEL Delphi|855DC-1543-007 MECO_x000D_
Project - Subsystem Interface_x000D_
_x000D_
Interface Review 25/11/2025: Meco functionality of load forecasting might now be a subsystem of Delphi._x000D_
N/A</v>
      </c>
      <c r="I57" s="2"/>
      <c r="M57" s="71" t="str" cm="1">
        <f t="array" ref="M57">IF(_xlfn.XLOOKUP($A57,LEFT('EA-Fortescue_ReqsImport'!$A:$A,11),'EA-Fortescue_ReqsImport'!X:X)&lt;1,"",_xlfn.XLOOKUP($A57,LEFT('EA-Fortescue_ReqsImport'!$A:$A,11),'EA-Fortescue_ReqsImport'!X:X))</f>
        <v>Draft</v>
      </c>
    </row>
    <row r="58" spans="1:13" ht="76.5">
      <c r="A58" s="2" t="str">
        <v>GSP-IR-0057</v>
      </c>
      <c r="C58" s="71" t="str" cm="1">
        <f t="array" ref="C58">IF(_xlfn.XLOOKUP($A58,LEFT('EA-Fortescue_ReqsImport'!$A:$A,11),'EA-Fortescue_ReqsImport'!R:R)&lt;1,"",_xlfn.XLOOKUP($A58,LEFT('EA-Fortescue_ReqsImport'!$A:$A,11),'EA-Fortescue_ReqsImport'!R:R))</f>
        <v>The interface shall maintain clear ownership and traceability of forecasting data, identifying whether Delphi or MECO originated each forecast.</v>
      </c>
      <c r="D58" s="71" t="str" cm="1">
        <f t="array" ref="D58">IF(_xlfn.XLOOKUP($A58,LEFT('EA-Fortescue_ReqsImport'!$A:$A,11),'EA-Fortescue_ReqsImport'!S:S)&lt;1,"",_xlfn.XLOOKUP($A58,LEFT('EA-Fortescue_ReqsImport'!$A:$A,11),'EA-Fortescue_ReqsImport'!S:S))</f>
        <v>Interface Requirement</v>
      </c>
      <c r="E58" s="71" t="str" cm="1">
        <f t="array" ref="E58">IF(_xlfn.XLOOKUP($A58,LEFT('EA-Fortescue_ReqsImport'!$A:$A,11),'EA-Fortescue_ReqsImport'!T:T)&lt;1,"",_xlfn.XLOOKUP($A58,LEFT('EA-Fortescue_ReqsImport'!$A:$A,11),'EA-Fortescue_ReqsImport'!T:T))</f>
        <v>Green Systems Interface Register, Interface DGS-I_0005</v>
      </c>
      <c r="F58" s="71" t="str" cm="1">
        <f t="array" ref="F58">IF(_xlfn.XLOOKUP($A58,LEFT('EA-Fortescue_ReqsImport'!$A:$A,11),'EA-Fortescue_ReqsImport'!U:U)&lt;1,"",_xlfn.XLOOKUP($A58,LEFT('EA-Fortescue_ReqsImport'!$A:$A,11),'EA-Fortescue_ReqsImport'!U:U))</f>
        <v>Delphi</v>
      </c>
      <c r="G58" s="71" t="str" cm="1">
        <f t="array" ref="G58">IF(_xlfn.XLOOKUP($A58,LEFT('EA-Fortescue_ReqsImport'!$A:$A,11),'EA-Fortescue_ReqsImport'!V:V)&lt;1,"",_xlfn.XLOOKUP($A58,LEFT('EA-Fortescue_ReqsImport'!$A:$A,11),'EA-Fortescue_ReqsImport'!V:V))</f>
        <v>Data ownership clarity is required during transition and consolidation.</v>
      </c>
      <c r="H58" s="71" t="str" cm="1">
        <f t="array" ref="H58">IF(_xlfn.XLOOKUP($A58,LEFT('EA-Fortescue_ReqsImport'!$A:$A,11),'EA-Fortescue_ReqsImport'!W:W)&lt;1,"",_xlfn.XLOOKUP($A58,LEFT('EA-Fortescue_ReqsImport'!$A:$A,11),'EA-Fortescue_ReqsImport'!W:W))</f>
        <v>855DC-1541-DEL Delphi|855DC-1543-007 MECO_x000D_
Project - Subsystem Interface_x000D_
_x000D_
Interface Review 25/11/2025: Meco functionality of load forecasting might now be a subsystem of Delphi._x000D_
N/A</v>
      </c>
      <c r="I58" s="2"/>
      <c r="M58" s="71" t="str" cm="1">
        <f t="array" ref="M58">IF(_xlfn.XLOOKUP($A58,LEFT('EA-Fortescue_ReqsImport'!$A:$A,11),'EA-Fortescue_ReqsImport'!X:X)&lt;1,"",_xlfn.XLOOKUP($A58,LEFT('EA-Fortescue_ReqsImport'!$A:$A,11),'EA-Fortescue_ReqsImport'!X:X))</f>
        <v>Draft</v>
      </c>
    </row>
    <row r="59" spans="1:13" ht="102">
      <c r="A59" s="2" t="str">
        <v>GSP-IR-0058</v>
      </c>
      <c r="C59" s="71" t="str" cm="1">
        <f t="array" ref="C59">IF(_xlfn.XLOOKUP($A59,LEFT('EA-Fortescue_ReqsImport'!$A:$A,11),'EA-Fortescue_ReqsImport'!R:R)&lt;1,"",_xlfn.XLOOKUP($A59,LEFT('EA-Fortescue_ReqsImport'!$A:$A,11),'EA-Fortescue_ReqsImport'!R:R))</f>
        <v>The interface shall provide real-time operational data from Cimplicity fixed plant control systems into Delphi for calculating actual electrical loads.</v>
      </c>
      <c r="D59" s="71" t="str" cm="1">
        <f t="array" ref="D59">IF(_xlfn.XLOOKUP($A59,LEFT('EA-Fortescue_ReqsImport'!$A:$A,11),'EA-Fortescue_ReqsImport'!S:S)&lt;1,"",_xlfn.XLOOKUP($A59,LEFT('EA-Fortescue_ReqsImport'!$A:$A,11),'EA-Fortescue_ReqsImport'!S:S))</f>
        <v>Interface Requirement</v>
      </c>
      <c r="E59" s="71" t="str" cm="1">
        <f t="array" ref="E59">IF(_xlfn.XLOOKUP($A59,LEFT('EA-Fortescue_ReqsImport'!$A:$A,11),'EA-Fortescue_ReqsImport'!T:T)&lt;1,"",_xlfn.XLOOKUP($A59,LEFT('EA-Fortescue_ReqsImport'!$A:$A,11),'EA-Fortescue_ReqsImport'!T:T))</f>
        <v>Green Systems Interface Register, Interface DGS-I_0343</v>
      </c>
      <c r="F59" s="71" t="str" cm="1">
        <f t="array" ref="F59">IF(_xlfn.XLOOKUP($A59,LEFT('EA-Fortescue_ReqsImport'!$A:$A,11),'EA-Fortescue_ReqsImport'!U:U)&lt;1,"",_xlfn.XLOOKUP($A59,LEFT('EA-Fortescue_ReqsImport'!$A:$A,11),'EA-Fortescue_ReqsImport'!U:U))</f>
        <v>Delphi</v>
      </c>
      <c r="G59" s="71" t="str" cm="1">
        <f t="array" ref="G59">IF(_xlfn.XLOOKUP($A59,LEFT('EA-Fortescue_ReqsImport'!$A:$A,11),'EA-Fortescue_ReqsImport'!V:V)&lt;1,"",_xlfn.XLOOKUP($A59,LEFT('EA-Fortescue_ReqsImport'!$A:$A,11),'EA-Fortescue_ReqsImport'!V:V))</f>
        <v>Accurate real-time load assessment depends on fixed plant data.</v>
      </c>
      <c r="H59" s="71" t="str" cm="1">
        <f t="array" ref="H59">IF(_xlfn.XLOOKUP($A59,LEFT('EA-Fortescue_ReqsImport'!$A:$A,11),'EA-Fortescue_ReqsImport'!W:W)&lt;1,"",_xlfn.XLOOKUP($A59,LEFT('EA-Fortescue_ReqsImport'!$A:$A,11),'EA-Fortescue_ReqsImport'!W:W))</f>
        <v>005OP-0000-013 Cimplicity|855DC-1541-DEL Delphi_x000D_
Project - Project Interface_x000D_
Technical-Data/Software_x000D_
This interface provides real-time operational data from fixed plant control systems for calculating actual loads._x000D_
The criticality level is HIGH because failure prevents accurate real-time load assessment, which is essential for load curtailment and control decisions. Failure risks serious safety incidents and the need for major operational replanning.</v>
      </c>
      <c r="I59" s="2"/>
      <c r="M59" s="71" t="str" cm="1">
        <f t="array" ref="M59">IF(_xlfn.XLOOKUP($A59,LEFT('EA-Fortescue_ReqsImport'!$A:$A,11),'EA-Fortescue_ReqsImport'!X:X)&lt;1,"",_xlfn.XLOOKUP($A59,LEFT('EA-Fortescue_ReqsImport'!$A:$A,11),'EA-Fortescue_ReqsImport'!X:X))</f>
        <v>Draft</v>
      </c>
    </row>
    <row r="60" spans="1:13" ht="102">
      <c r="A60" s="2" t="str">
        <v>GSP-IR-0059</v>
      </c>
      <c r="C60" s="71" t="str" cm="1">
        <f t="array" ref="C60">IF(_xlfn.XLOOKUP($A60,LEFT('EA-Fortescue_ReqsImport'!$A:$A,11),'EA-Fortescue_ReqsImport'!R:R)&lt;1,"",_xlfn.XLOOKUP($A60,LEFT('EA-Fortescue_ReqsImport'!$A:$A,11),'EA-Fortescue_ReqsImport'!R:R))</f>
        <v>The interface shall deliver Cimplicity data with an end-to-end latency of no more than 5 seconds and a data-feed availability of at least 99.9% per month, to support real-time load curtailment and control decisions.</v>
      </c>
      <c r="D60" s="71" t="str" cm="1">
        <f t="array" ref="D60">IF(_xlfn.XLOOKUP($A60,LEFT('EA-Fortescue_ReqsImport'!$A:$A,11),'EA-Fortescue_ReqsImport'!S:S)&lt;1,"",_xlfn.XLOOKUP($A60,LEFT('EA-Fortescue_ReqsImport'!$A:$A,11),'EA-Fortescue_ReqsImport'!S:S))</f>
        <v>Interface Requirement</v>
      </c>
      <c r="E60" s="71" t="str" cm="1">
        <f t="array" ref="E60">IF(_xlfn.XLOOKUP($A60,LEFT('EA-Fortescue_ReqsImport'!$A:$A,11),'EA-Fortescue_ReqsImport'!T:T)&lt;1,"",_xlfn.XLOOKUP($A60,LEFT('EA-Fortescue_ReqsImport'!$A:$A,11),'EA-Fortescue_ReqsImport'!T:T))</f>
        <v>Green Systems Interface Register, Interface DGS-I_0343</v>
      </c>
      <c r="F60" s="71" t="str" cm="1">
        <f t="array" ref="F60">IF(_xlfn.XLOOKUP($A60,LEFT('EA-Fortescue_ReqsImport'!$A:$A,11),'EA-Fortescue_ReqsImport'!U:U)&lt;1,"",_xlfn.XLOOKUP($A60,LEFT('EA-Fortescue_ReqsImport'!$A:$A,11),'EA-Fortescue_ReqsImport'!U:U))</f>
        <v>Delphi</v>
      </c>
      <c r="G60" s="71" t="str" cm="1">
        <f t="array" ref="G60">IF(_xlfn.XLOOKUP($A60,LEFT('EA-Fortescue_ReqsImport'!$A:$A,11),'EA-Fortescue_ReqsImport'!V:V)&lt;1,"",_xlfn.XLOOKUP($A60,LEFT('EA-Fortescue_ReqsImport'!$A:$A,11),'EA-Fortescue_ReqsImport'!V:V))</f>
        <v>High latency or unreliability increases safety risk and need for replanning.</v>
      </c>
      <c r="H60" s="71" t="str" cm="1">
        <f t="array" ref="H60">IF(_xlfn.XLOOKUP($A60,LEFT('EA-Fortescue_ReqsImport'!$A:$A,11),'EA-Fortescue_ReqsImport'!W:W)&lt;1,"",_xlfn.XLOOKUP($A60,LEFT('EA-Fortescue_ReqsImport'!$A:$A,11),'EA-Fortescue_ReqsImport'!W:W))</f>
        <v>005OP-0000-013 Cimplicity|855DC-1541-DEL Delphi_x000D_
Project - Project Interface_x000D_
Technical-Data/Software_x000D_
This interface provides real-time operational data from fixed plant control systems for calculating actual loads._x000D_
The criticality level is HIGH because failure prevents accurate real-time load assessment, which is essential for load curtailment and control decisions. Failure risks serious safety incidents and the need for major operational replanning.</v>
      </c>
      <c r="I60" s="2"/>
      <c r="M60" s="71" t="str" cm="1">
        <f t="array" ref="M60">IF(_xlfn.XLOOKUP($A60,LEFT('EA-Fortescue_ReqsImport'!$A:$A,11),'EA-Fortescue_ReqsImport'!X:X)&lt;1,"",_xlfn.XLOOKUP($A60,LEFT('EA-Fortescue_ReqsImport'!$A:$A,11),'EA-Fortescue_ReqsImport'!X:X))</f>
        <v>Draft</v>
      </c>
    </row>
    <row r="61" spans="1:13" ht="102">
      <c r="A61" s="2" t="str">
        <v>GSP-IR-0060</v>
      </c>
      <c r="C61" s="71" t="str" cm="1">
        <f t="array" ref="C61">IF(_xlfn.XLOOKUP($A61,LEFT('EA-Fortescue_ReqsImport'!$A:$A,11),'EA-Fortescue_ReqsImport'!R:R)&lt;1,"",_xlfn.XLOOKUP($A61,LEFT('EA-Fortescue_ReqsImport'!$A:$A,11),'EA-Fortescue_ReqsImport'!R:R))</f>
        <v>The interface shall detect and report loss or degradation of Cimplicity data feeds that would prevent accurate real-time load assessment.</v>
      </c>
      <c r="D61" s="71" t="str" cm="1">
        <f t="array" ref="D61">IF(_xlfn.XLOOKUP($A61,LEFT('EA-Fortescue_ReqsImport'!$A:$A,11),'EA-Fortescue_ReqsImport'!S:S)&lt;1,"",_xlfn.XLOOKUP($A61,LEFT('EA-Fortescue_ReqsImport'!$A:$A,11),'EA-Fortescue_ReqsImport'!S:S))</f>
        <v>Interface Requirement</v>
      </c>
      <c r="E61" s="71" t="str" cm="1">
        <f t="array" ref="E61">IF(_xlfn.XLOOKUP($A61,LEFT('EA-Fortescue_ReqsImport'!$A:$A,11),'EA-Fortescue_ReqsImport'!T:T)&lt;1,"",_xlfn.XLOOKUP($A61,LEFT('EA-Fortescue_ReqsImport'!$A:$A,11),'EA-Fortescue_ReqsImport'!T:T))</f>
        <v>Green Systems Interface Register, Interface DGS-I_0343</v>
      </c>
      <c r="F61" s="71" t="str" cm="1">
        <f t="array" ref="F61">IF(_xlfn.XLOOKUP($A61,LEFT('EA-Fortescue_ReqsImport'!$A:$A,11),'EA-Fortescue_ReqsImport'!U:U)&lt;1,"",_xlfn.XLOOKUP($A61,LEFT('EA-Fortescue_ReqsImport'!$A:$A,11),'EA-Fortescue_ReqsImport'!U:U))</f>
        <v>Delphi</v>
      </c>
      <c r="G61" s="71" t="str" cm="1">
        <f t="array" ref="G61">IF(_xlfn.XLOOKUP($A61,LEFT('EA-Fortescue_ReqsImport'!$A:$A,11),'EA-Fortescue_ReqsImport'!V:V)&lt;1,"",_xlfn.XLOOKUP($A61,LEFT('EA-Fortescue_ReqsImport'!$A:$A,11),'EA-Fortescue_ReqsImport'!V:V))</f>
        <v>Timely detection of feed failure is necessary to avoid operating blindly.</v>
      </c>
      <c r="H61" s="71" t="str" cm="1">
        <f t="array" ref="H61">IF(_xlfn.XLOOKUP($A61,LEFT('EA-Fortescue_ReqsImport'!$A:$A,11),'EA-Fortescue_ReqsImport'!W:W)&lt;1,"",_xlfn.XLOOKUP($A61,LEFT('EA-Fortescue_ReqsImport'!$A:$A,11),'EA-Fortescue_ReqsImport'!W:W))</f>
        <v>005OP-0000-013 Cimplicity|855DC-1541-DEL Delphi_x000D_
Project - Project Interface_x000D_
Technical-Data/Software_x000D_
This interface provides real-time operational data from fixed plant control systems for calculating actual loads._x000D_
The criticality level is HIGH because failure prevents accurate real-time load assessment, which is essential for load curtailment and control decisions. Failure risks serious safety incidents and the need for major operational replanning.</v>
      </c>
      <c r="I61" s="2"/>
      <c r="M61" s="71" t="str" cm="1">
        <f t="array" ref="M61">IF(_xlfn.XLOOKUP($A61,LEFT('EA-Fortescue_ReqsImport'!$A:$A,11),'EA-Fortescue_ReqsImport'!X:X)&lt;1,"",_xlfn.XLOOKUP($A61,LEFT('EA-Fortescue_ReqsImport'!$A:$A,11),'EA-Fortescue_ReqsImport'!X:X))</f>
        <v>Draft</v>
      </c>
    </row>
    <row r="62" spans="1:13" ht="102">
      <c r="A62" s="2" t="str">
        <v>GSP-IR-0061</v>
      </c>
      <c r="C62" s="71" t="str" cm="1">
        <f t="array" ref="C62">IF(_xlfn.XLOOKUP($A62,LEFT('EA-Fortescue_ReqsImport'!$A:$A,11),'EA-Fortescue_ReqsImport'!R:R)&lt;1,"",_xlfn.XLOOKUP($A62,LEFT('EA-Fortescue_ReqsImport'!$A:$A,11),'EA-Fortescue_ReqsImport'!R:R))</f>
        <v>The interface shall log Cimplicity data used in load calculations to support post-event analysis and assurance.</v>
      </c>
      <c r="D62" s="71" t="str" cm="1">
        <f t="array" ref="D62">IF(_xlfn.XLOOKUP($A62,LEFT('EA-Fortescue_ReqsImport'!$A:$A,11),'EA-Fortescue_ReqsImport'!S:S)&lt;1,"",_xlfn.XLOOKUP($A62,LEFT('EA-Fortescue_ReqsImport'!$A:$A,11),'EA-Fortescue_ReqsImport'!S:S))</f>
        <v>Interface Requirement</v>
      </c>
      <c r="E62" s="71" t="str" cm="1">
        <f t="array" ref="E62">IF(_xlfn.XLOOKUP($A62,LEFT('EA-Fortescue_ReqsImport'!$A:$A,11),'EA-Fortescue_ReqsImport'!T:T)&lt;1,"",_xlfn.XLOOKUP($A62,LEFT('EA-Fortescue_ReqsImport'!$A:$A,11),'EA-Fortescue_ReqsImport'!T:T))</f>
        <v>Green Systems Interface Register, Interface DGS-I_0343</v>
      </c>
      <c r="F62" s="71" t="str" cm="1">
        <f t="array" ref="F62">IF(_xlfn.XLOOKUP($A62,LEFT('EA-Fortescue_ReqsImport'!$A:$A,11),'EA-Fortescue_ReqsImport'!U:U)&lt;1,"",_xlfn.XLOOKUP($A62,LEFT('EA-Fortescue_ReqsImport'!$A:$A,11),'EA-Fortescue_ReqsImport'!U:U))</f>
        <v>Delphi</v>
      </c>
      <c r="G62" s="71" t="str" cm="1">
        <f t="array" ref="G62">IF(_xlfn.XLOOKUP($A62,LEFT('EA-Fortescue_ReqsImport'!$A:$A,11),'EA-Fortescue_ReqsImport'!V:V)&lt;1,"",_xlfn.XLOOKUP($A62,LEFT('EA-Fortescue_ReqsImport'!$A:$A,11),'EA-Fortescue_ReqsImport'!V:V))</f>
        <v>Historical records enable investigation of incidents and verification of decisions.</v>
      </c>
      <c r="H62" s="71" t="str" cm="1">
        <f t="array" ref="H62">IF(_xlfn.XLOOKUP($A62,LEFT('EA-Fortescue_ReqsImport'!$A:$A,11),'EA-Fortescue_ReqsImport'!W:W)&lt;1,"",_xlfn.XLOOKUP($A62,LEFT('EA-Fortescue_ReqsImport'!$A:$A,11),'EA-Fortescue_ReqsImport'!W:W))</f>
        <v>005OP-0000-013 Cimplicity|855DC-1541-DEL Delphi_x000D_
Project - Project Interface_x000D_
Technical-Data/Software_x000D_
This interface provides real-time operational data from fixed plant control systems for calculating actual loads._x000D_
The criticality level is HIGH because failure prevents accurate real-time load assessment, which is essential for load curtailment and control decisions. Failure risks serious safety incidents and the need for major operational replanning.</v>
      </c>
      <c r="I62" s="2"/>
      <c r="M62" s="71" t="str" cm="1">
        <f t="array" ref="M62">IF(_xlfn.XLOOKUP($A62,LEFT('EA-Fortescue_ReqsImport'!$A:$A,11),'EA-Fortescue_ReqsImport'!X:X)&lt;1,"",_xlfn.XLOOKUP($A62,LEFT('EA-Fortescue_ReqsImport'!$A:$A,11),'EA-Fortescue_ReqsImport'!X:X))</f>
        <v>Draft</v>
      </c>
    </row>
    <row r="63" spans="1:13" ht="216.75">
      <c r="A63" s="2" t="str">
        <v>GSP-IR-0062</v>
      </c>
      <c r="C63" s="71" t="str" cm="1">
        <f t="array" ref="C63">IF(_xlfn.XLOOKUP($A63,LEFT('EA-Fortescue_ReqsImport'!$A:$A,11),'EA-Fortescue_ReqsImport'!R:R)&lt;1,"",_xlfn.XLOOKUP($A63,LEFT('EA-Fortescue_ReqsImport'!$A:$A,11),'EA-Fortescue_ReqsImport'!R:R))</f>
        <v>The interface shall allow Delphi to present a consolidated operational weather view, combining measured actuals and multiple forecast sources, on the HIVE display for Energy Operations.</v>
      </c>
      <c r="D63" s="71" t="str" cm="1">
        <f t="array" ref="D63">IF(_xlfn.XLOOKUP($A63,LEFT('EA-Fortescue_ReqsImport'!$A:$A,11),'EA-Fortescue_ReqsImport'!S:S)&lt;1,"",_xlfn.XLOOKUP($A63,LEFT('EA-Fortescue_ReqsImport'!$A:$A,11),'EA-Fortescue_ReqsImport'!S:S))</f>
        <v>Interface Requirement</v>
      </c>
      <c r="E63" s="71" t="str" cm="1">
        <f t="array" ref="E63">IF(_xlfn.XLOOKUP($A63,LEFT('EA-Fortescue_ReqsImport'!$A:$A,11),'EA-Fortescue_ReqsImport'!T:T)&lt;1,"",_xlfn.XLOOKUP($A63,LEFT('EA-Fortescue_ReqsImport'!$A:$A,11),'EA-Fortescue_ReqsImport'!T:T))</f>
        <v>Green Systems Interface Register, Interface DGS-I_0213</v>
      </c>
      <c r="F63" s="71" t="str" cm="1">
        <f t="array" ref="F63">IF(_xlfn.XLOOKUP($A63,LEFT('EA-Fortescue_ReqsImport'!$A:$A,11),'EA-Fortescue_ReqsImport'!U:U)&lt;1,"",_xlfn.XLOOKUP($A63,LEFT('EA-Fortescue_ReqsImport'!$A:$A,11),'EA-Fortescue_ReqsImport'!U:U))</f>
        <v>Delphi</v>
      </c>
      <c r="G63" s="71" t="str" cm="1">
        <f t="array" ref="G63">IF(_xlfn.XLOOKUP($A63,LEFT('EA-Fortescue_ReqsImport'!$A:$A,11),'EA-Fortescue_ReqsImport'!V:V)&lt;1,"",_xlfn.XLOOKUP($A63,LEFT('EA-Fortescue_ReqsImport'!$A:$A,11),'EA-Fortescue_ReqsImport'!V:V))</f>
        <v>Energy Operations requires a single, integrated weather picture for decision-making.</v>
      </c>
      <c r="H63" s="71" t="str" cm="1">
        <f t="array" ref="H63">IF(_xlfn.XLOOKUP($A63,LEFT('EA-Fortescue_ReqsImport'!$A:$A,11),'EA-Fortescue_ReqsImport'!W:W)&lt;1,"",_xlfn.XLOOKUP($A63,LEFT('EA-Fortescue_ReqsImport'!$A:$A,11),'EA-Fortescue_ReqsImport'!W:W))</f>
        <v>Energy Operations (HIVE)|855DC-1541-DEL Delphi_x000D_
Stakeholder - Project Interface_x000D_
Technical-Data/Software_x000D_
Delphi - Aggregated Weather Platform for Actuals &amp; Forecasts (HIVE Display)_x000D_
The purpose of this interface is for Delphi to serve as the central aggregated weather platform, combining actual measured weather data and multiple forecast sources into a single operational view. Energy Operations uses Delphi to monitor real-time and near-term weather conditions - such as wind, irradiance, rainfall, and lightning - via a dedicated display screen in the HIVE control room._x000D_
Intermediate Elements: the Delphi weather aggregation platform, Snowflake datasets, and the HIVE visualisation screen._x000D_
The criticality level is HIGH because reliable, consolidated weather visibility is essential for operational decision-making, forecasting accuracy, and reacting to rapidly changing conditions that affect generation, safety, and dispatch. Failure of this interface causes immediate blindness to changing conditions (e.g., wind gusts or solar drops), risking system instability, inaccurate generation curtailment, or compromising safety protocols (e.g., lightning warnings).</v>
      </c>
      <c r="I63" s="2"/>
      <c r="M63" s="71" t="str" cm="1">
        <f t="array" ref="M63">IF(_xlfn.XLOOKUP($A63,LEFT('EA-Fortescue_ReqsImport'!$A:$A,11),'EA-Fortescue_ReqsImport'!X:X)&lt;1,"",_xlfn.XLOOKUP($A63,LEFT('EA-Fortescue_ReqsImport'!$A:$A,11),'EA-Fortescue_ReqsImport'!X:X))</f>
        <v>Draft</v>
      </c>
    </row>
    <row r="64" spans="1:13" ht="216.75">
      <c r="A64" s="2" t="str">
        <v>GSP-IR-0063</v>
      </c>
      <c r="C64" s="71" t="str" cm="1">
        <f t="array" ref="C64">IF(_xlfn.XLOOKUP($A64,LEFT('EA-Fortescue_ReqsImport'!$A:$A,11),'EA-Fortescue_ReqsImport'!R:R)&lt;1,"",_xlfn.XLOOKUP($A64,LEFT('EA-Fortescue_ReqsImport'!$A:$A,11),'EA-Fortescue_ReqsImport'!R:R))</f>
        <v>The interface shall update the HIVE weather display at a minimum cadence of once every 30 seconds, with end-to-end data latency not exceeding 10 seconds, to support real-time monitoring of conditions affecting generation, safety, and dispatch.</v>
      </c>
      <c r="D64" s="71" t="str" cm="1">
        <f t="array" ref="D64">IF(_xlfn.XLOOKUP($A64,LEFT('EA-Fortescue_ReqsImport'!$A:$A,11),'EA-Fortescue_ReqsImport'!S:S)&lt;1,"",_xlfn.XLOOKUP($A64,LEFT('EA-Fortescue_ReqsImport'!$A:$A,11),'EA-Fortescue_ReqsImport'!S:S))</f>
        <v>Interface Requirement</v>
      </c>
      <c r="E64" s="71" t="str" cm="1">
        <f t="array" ref="E64">IF(_xlfn.XLOOKUP($A64,LEFT('EA-Fortescue_ReqsImport'!$A:$A,11),'EA-Fortescue_ReqsImport'!T:T)&lt;1,"",_xlfn.XLOOKUP($A64,LEFT('EA-Fortescue_ReqsImport'!$A:$A,11),'EA-Fortescue_ReqsImport'!T:T))</f>
        <v>Green Systems Interface Register, Interface DGS-I_0213</v>
      </c>
      <c r="F64" s="71" t="str" cm="1">
        <f t="array" ref="F64">IF(_xlfn.XLOOKUP($A64,LEFT('EA-Fortescue_ReqsImport'!$A:$A,11),'EA-Fortescue_ReqsImport'!U:U)&lt;1,"",_xlfn.XLOOKUP($A64,LEFT('EA-Fortescue_ReqsImport'!$A:$A,11),'EA-Fortescue_ReqsImport'!U:U))</f>
        <v>Delphi</v>
      </c>
      <c r="G64" s="71" t="str" cm="1">
        <f t="array" ref="G64">IF(_xlfn.XLOOKUP($A64,LEFT('EA-Fortescue_ReqsImport'!$A:$A,11),'EA-Fortescue_ReqsImport'!V:V)&lt;1,"",_xlfn.XLOOKUP($A64,LEFT('EA-Fortescue_ReqsImport'!$A:$A,11),'EA-Fortescue_ReqsImport'!V:V))</f>
        <v>Slow updates reduce the ability to react to rapidly changing weather.</v>
      </c>
      <c r="H64" s="71" t="str" cm="1">
        <f t="array" ref="H64">IF(_xlfn.XLOOKUP($A64,LEFT('EA-Fortescue_ReqsImport'!$A:$A,11),'EA-Fortescue_ReqsImport'!W:W)&lt;1,"",_xlfn.XLOOKUP($A64,LEFT('EA-Fortescue_ReqsImport'!$A:$A,11),'EA-Fortescue_ReqsImport'!W:W))</f>
        <v>Energy Operations (HIVE)|855DC-1541-DEL Delphi_x000D_
Stakeholder - Project Interface_x000D_
Technical-Data/Software_x000D_
Delphi - Aggregated Weather Platform for Actuals &amp; Forecasts (HIVE Display)_x000D_
The purpose of this interface is for Delphi to serve as the central aggregated weather platform, combining actual measured weather data and multiple forecast sources into a single operational view. Energy Operations uses Delphi to monitor real-time and near-term weather conditions - such as wind, irradiance, rainfall, and lightning - via a dedicated display screen in the HIVE control room._x000D_
Intermediate Elements: the Delphi weather aggregation platform, Snowflake datasets, and the HIVE visualisation screen._x000D_
The criticality level is HIGH because reliable, consolidated weather visibility is essential for operational decision-making, forecasting accuracy, and reacting to rapidly changing conditions that affect generation, safety, and dispatch. Failure of this interface causes immediate blindness to changing conditions (e.g., wind gusts or solar drops), risking system instability, inaccurate generation curtailment, or compromising safety protocols (e.g., lightning warnings).</v>
      </c>
      <c r="I64" s="2"/>
      <c r="M64" s="71" t="str" cm="1">
        <f t="array" ref="M64">IF(_xlfn.XLOOKUP($A64,LEFT('EA-Fortescue_ReqsImport'!$A:$A,11),'EA-Fortescue_ReqsImport'!X:X)&lt;1,"",_xlfn.XLOOKUP($A64,LEFT('EA-Fortescue_ReqsImport'!$A:$A,11),'EA-Fortescue_ReqsImport'!X:X))</f>
        <v>Draft</v>
      </c>
    </row>
    <row r="65" spans="1:13" ht="216.75">
      <c r="A65" s="2" t="str">
        <v>GSP-IR-0064</v>
      </c>
      <c r="C65" s="71" t="str" cm="1">
        <f t="array" ref="C65">IF(_xlfn.XLOOKUP($A65,LEFT('EA-Fortescue_ReqsImport'!$A:$A,11),'EA-Fortescue_ReqsImport'!R:R)&lt;1,"",_xlfn.XLOOKUP($A65,LEFT('EA-Fortescue_ReqsImport'!$A:$A,11),'EA-Fortescue_ReqsImport'!R:R))</f>
        <v>The interface shall ensure that critical warning conditions, such as lightning in proximity to operations, are clearly indicated on the HIVE display.</v>
      </c>
      <c r="D65" s="71" t="str" cm="1">
        <f t="array" ref="D65">IF(_xlfn.XLOOKUP($A65,LEFT('EA-Fortescue_ReqsImport'!$A:$A,11),'EA-Fortescue_ReqsImport'!S:S)&lt;1,"",_xlfn.XLOOKUP($A65,LEFT('EA-Fortescue_ReqsImport'!$A:$A,11),'EA-Fortescue_ReqsImport'!S:S))</f>
        <v>Interface Requirement</v>
      </c>
      <c r="E65" s="71" t="str" cm="1">
        <f t="array" ref="E65">IF(_xlfn.XLOOKUP($A65,LEFT('EA-Fortescue_ReqsImport'!$A:$A,11),'EA-Fortescue_ReqsImport'!T:T)&lt;1,"",_xlfn.XLOOKUP($A65,LEFT('EA-Fortescue_ReqsImport'!$A:$A,11),'EA-Fortescue_ReqsImport'!T:T))</f>
        <v>Green Systems Interface Register, Interface DGS-I_0213</v>
      </c>
      <c r="F65" s="71" t="str" cm="1">
        <f t="array" ref="F65">IF(_xlfn.XLOOKUP($A65,LEFT('EA-Fortescue_ReqsImport'!$A:$A,11),'EA-Fortescue_ReqsImport'!U:U)&lt;1,"",_xlfn.XLOOKUP($A65,LEFT('EA-Fortescue_ReqsImport'!$A:$A,11),'EA-Fortescue_ReqsImport'!U:U))</f>
        <v>Delphi</v>
      </c>
      <c r="G65" s="71" t="str" cm="1">
        <f t="array" ref="G65">IF(_xlfn.XLOOKUP($A65,LEFT('EA-Fortescue_ReqsImport'!$A:$A,11),'EA-Fortescue_ReqsImport'!V:V)&lt;1,"",_xlfn.XLOOKUP($A65,LEFT('EA-Fortescue_ReqsImport'!$A:$A,11),'EA-Fortescue_ReqsImport'!V:V))</f>
        <v>Clear visualisation of critical conditions is necessary for safety protocols.</v>
      </c>
      <c r="H65" s="71" t="str" cm="1">
        <f t="array" ref="H65">IF(_xlfn.XLOOKUP($A65,LEFT('EA-Fortescue_ReqsImport'!$A:$A,11),'EA-Fortescue_ReqsImport'!W:W)&lt;1,"",_xlfn.XLOOKUP($A65,LEFT('EA-Fortescue_ReqsImport'!$A:$A,11),'EA-Fortescue_ReqsImport'!W:W))</f>
        <v>Energy Operations (HIVE)|855DC-1541-DEL Delphi_x000D_
Stakeholder - Project Interface_x000D_
Technical-Data/Software_x000D_
Delphi - Aggregated Weather Platform for Actuals &amp; Forecasts (HIVE Display)_x000D_
The purpose of this interface is for Delphi to serve as the central aggregated weather platform, combining actual measured weather data and multiple forecast sources into a single operational view. Energy Operations uses Delphi to monitor real-time and near-term weather conditions - such as wind, irradiance, rainfall, and lightning - via a dedicated display screen in the HIVE control room._x000D_
Intermediate Elements: the Delphi weather aggregation platform, Snowflake datasets, and the HIVE visualisation screen._x000D_
The criticality level is HIGH because reliable, consolidated weather visibility is essential for operational decision-making, forecasting accuracy, and reacting to rapidly changing conditions that affect generation, safety, and dispatch. Failure of this interface causes immediate blindness to changing conditions (e.g., wind gusts or solar drops), risking system instability, inaccurate generation curtailment, or compromising safety protocols (e.g., lightning warnings).</v>
      </c>
      <c r="I65" s="2"/>
      <c r="M65" s="71" t="str" cm="1">
        <f t="array" ref="M65">IF(_xlfn.XLOOKUP($A65,LEFT('EA-Fortescue_ReqsImport'!$A:$A,11),'EA-Fortescue_ReqsImport'!X:X)&lt;1,"",_xlfn.XLOOKUP($A65,LEFT('EA-Fortescue_ReqsImport'!$A:$A,11),'EA-Fortescue_ReqsImport'!X:X))</f>
        <v>Draft</v>
      </c>
    </row>
    <row r="66" spans="1:13" ht="216.75">
      <c r="A66" s="2" t="str">
        <v>GSP-IR-0065</v>
      </c>
      <c r="C66" s="71" t="str" cm="1">
        <f t="array" ref="C66">IF(_xlfn.XLOOKUP($A66,LEFT('EA-Fortescue_ReqsImport'!$A:$A,11),'EA-Fortescue_ReqsImport'!R:R)&lt;1,"",_xlfn.XLOOKUP($A66,LEFT('EA-Fortescue_ReqsImport'!$A:$A,11),'EA-Fortescue_ReqsImport'!R:R))</f>
        <v>The interface shall route only aggregated and operationally relevant weather information to the HIVE display, avoiding unnecessary technical detail.</v>
      </c>
      <c r="D66" s="71" t="str" cm="1">
        <f t="array" ref="D66">IF(_xlfn.XLOOKUP($A66,LEFT('EA-Fortescue_ReqsImport'!$A:$A,11),'EA-Fortescue_ReqsImport'!S:S)&lt;1,"",_xlfn.XLOOKUP($A66,LEFT('EA-Fortescue_ReqsImport'!$A:$A,11),'EA-Fortescue_ReqsImport'!S:S))</f>
        <v>Interface Requirement</v>
      </c>
      <c r="E66" s="71" t="str" cm="1">
        <f t="array" ref="E66">IF(_xlfn.XLOOKUP($A66,LEFT('EA-Fortescue_ReqsImport'!$A:$A,11),'EA-Fortescue_ReqsImport'!T:T)&lt;1,"",_xlfn.XLOOKUP($A66,LEFT('EA-Fortescue_ReqsImport'!$A:$A,11),'EA-Fortescue_ReqsImport'!T:T))</f>
        <v>Green Systems Interface Register, Interface DGS-I_0213</v>
      </c>
      <c r="F66" s="71" t="str" cm="1">
        <f t="array" ref="F66">IF(_xlfn.XLOOKUP($A66,LEFT('EA-Fortescue_ReqsImport'!$A:$A,11),'EA-Fortescue_ReqsImport'!U:U)&lt;1,"",_xlfn.XLOOKUP($A66,LEFT('EA-Fortescue_ReqsImport'!$A:$A,11),'EA-Fortescue_ReqsImport'!U:U))</f>
        <v>Delphi</v>
      </c>
      <c r="G66" s="71" t="str" cm="1">
        <f t="array" ref="G66">IF(_xlfn.XLOOKUP($A66,LEFT('EA-Fortescue_ReqsImport'!$A:$A,11),'EA-Fortescue_ReqsImport'!V:V)&lt;1,"",_xlfn.XLOOKUP($A66,LEFT('EA-Fortescue_ReqsImport'!$A:$A,11),'EA-Fortescue_ReqsImport'!V:V))</f>
        <v>Operators require concise, actionable information rather than raw data.</v>
      </c>
      <c r="H66" s="71" t="str" cm="1">
        <f t="array" ref="H66">IF(_xlfn.XLOOKUP($A66,LEFT('EA-Fortescue_ReqsImport'!$A:$A,11),'EA-Fortescue_ReqsImport'!W:W)&lt;1,"",_xlfn.XLOOKUP($A66,LEFT('EA-Fortescue_ReqsImport'!$A:$A,11),'EA-Fortescue_ReqsImport'!W:W))</f>
        <v>Energy Operations (HIVE)|855DC-1541-DEL Delphi_x000D_
Stakeholder - Project Interface_x000D_
Technical-Data/Software_x000D_
Delphi - Aggregated Weather Platform for Actuals &amp; Forecasts (HIVE Display)_x000D_
The purpose of this interface is for Delphi to serve as the central aggregated weather platform, combining actual measured weather data and multiple forecast sources into a single operational view. Energy Operations uses Delphi to monitor real-time and near-term weather conditions - such as wind, irradiance, rainfall, and lightning - via a dedicated display screen in the HIVE control room._x000D_
Intermediate Elements: the Delphi weather aggregation platform, Snowflake datasets, and the HIVE visualisation screen._x000D_
The criticality level is HIGH because reliable, consolidated weather visibility is essential for operational decision-making, forecasting accuracy, and reacting to rapidly changing conditions that affect generation, safety, and dispatch. Failure of this interface causes immediate blindness to changing conditions (e.g., wind gusts or solar drops), risking system instability, inaccurate generation curtailment, or compromising safety protocols (e.g., lightning warnings).</v>
      </c>
      <c r="I66" s="2"/>
      <c r="M66" s="71" t="str" cm="1">
        <f t="array" ref="M66">IF(_xlfn.XLOOKUP($A66,LEFT('EA-Fortescue_ReqsImport'!$A:$A,11),'EA-Fortescue_ReqsImport'!X:X)&lt;1,"",_xlfn.XLOOKUP($A66,LEFT('EA-Fortescue_ReqsImport'!$A:$A,11),'EA-Fortescue_ReqsImport'!X:X))</f>
        <v>Draft</v>
      </c>
    </row>
    <row r="67" spans="1:13">
      <c r="D67" s="2"/>
      <c r="E67" s="2"/>
      <c r="F67" s="2"/>
      <c r="I67" s="2"/>
    </row>
    <row r="68" spans="1:13">
      <c r="D68" s="2"/>
      <c r="E68" s="2"/>
      <c r="F68" s="2"/>
      <c r="I68" s="2"/>
    </row>
    <row r="69" spans="1:13">
      <c r="D69" s="2"/>
      <c r="E69" s="2"/>
      <c r="F69" s="2"/>
      <c r="I69" s="2"/>
    </row>
    <row r="70" spans="1:13">
      <c r="C70" s="12"/>
      <c r="D70" s="2"/>
      <c r="E70" s="2"/>
      <c r="F70" s="2"/>
      <c r="I70" s="2"/>
    </row>
    <row r="71" spans="1:13">
      <c r="D71" s="2"/>
      <c r="E71" s="2"/>
      <c r="F71" s="2"/>
      <c r="I71" s="2"/>
    </row>
    <row r="72" spans="1:13">
      <c r="D72" s="2"/>
      <c r="E72" s="2"/>
      <c r="F72" s="2"/>
      <c r="I72" s="2"/>
    </row>
    <row r="73" spans="1:13">
      <c r="D73" s="2"/>
      <c r="E73" s="2"/>
      <c r="F73" s="2"/>
      <c r="I73" s="2"/>
    </row>
    <row r="74" spans="1:13">
      <c r="D74" s="2"/>
      <c r="E74" s="2"/>
      <c r="F74" s="2"/>
      <c r="I74" s="2"/>
    </row>
    <row r="75" spans="1:13">
      <c r="D75" s="2"/>
      <c r="E75" s="2"/>
      <c r="F75" s="2"/>
      <c r="I75" s="2"/>
    </row>
    <row r="76" spans="1:13">
      <c r="D76" s="2"/>
      <c r="E76" s="2"/>
      <c r="F76" s="2"/>
      <c r="I76" s="2"/>
    </row>
    <row r="77" spans="1:13">
      <c r="D77" s="2"/>
      <c r="E77" s="2"/>
      <c r="F77" s="2"/>
      <c r="I77" s="2"/>
    </row>
    <row r="78" spans="1:13">
      <c r="D78" s="2"/>
      <c r="E78" s="2"/>
      <c r="F78" s="2"/>
      <c r="I78" s="2"/>
    </row>
    <row r="79" spans="1:13">
      <c r="D79" s="2"/>
      <c r="E79" s="2"/>
      <c r="F79" s="2"/>
      <c r="I79" s="2"/>
    </row>
    <row r="80" spans="1:13">
      <c r="D80" s="2"/>
      <c r="E80" s="2"/>
      <c r="F80" s="2"/>
      <c r="I80" s="2"/>
    </row>
    <row r="81" spans="1:9">
      <c r="D81" s="2"/>
      <c r="E81" s="2"/>
      <c r="F81" s="2"/>
      <c r="I81" s="2"/>
    </row>
    <row r="82" spans="1:9">
      <c r="D82" s="2"/>
      <c r="E82" s="2"/>
      <c r="F82" s="2"/>
      <c r="I82" s="2"/>
    </row>
    <row r="83" spans="1:9">
      <c r="D83" s="2"/>
      <c r="E83" s="2"/>
      <c r="F83" s="2"/>
      <c r="I83" s="2"/>
    </row>
    <row r="84" spans="1:9">
      <c r="D84" s="2"/>
      <c r="E84" s="2"/>
      <c r="F84" s="2"/>
      <c r="I84" s="2"/>
    </row>
    <row r="85" spans="1:9">
      <c r="D85" s="2"/>
      <c r="E85" s="2"/>
      <c r="F85" s="2"/>
      <c r="I85" s="2"/>
    </row>
    <row r="86" spans="1:9">
      <c r="D86" s="2"/>
      <c r="E86" s="2"/>
      <c r="F86" s="2"/>
      <c r="I86" s="2"/>
    </row>
    <row r="87" spans="1:9">
      <c r="D87" s="2"/>
      <c r="E87" s="2"/>
      <c r="F87" s="2"/>
      <c r="I87" s="2"/>
    </row>
    <row r="88" spans="1:9">
      <c r="D88" s="2"/>
      <c r="E88" s="2"/>
      <c r="F88" s="2"/>
      <c r="I88" s="2"/>
    </row>
    <row r="89" spans="1:9">
      <c r="D89" s="2"/>
      <c r="E89" s="2"/>
      <c r="F89" s="2"/>
      <c r="I89" s="2"/>
    </row>
    <row r="90" spans="1:9">
      <c r="D90" s="2"/>
      <c r="E90" s="2"/>
      <c r="F90" s="2"/>
      <c r="I90" s="2"/>
    </row>
    <row r="91" spans="1:9">
      <c r="D91" s="2"/>
      <c r="E91" s="2"/>
      <c r="F91" s="2"/>
      <c r="I91" s="2"/>
    </row>
    <row r="92" spans="1:9">
      <c r="D92" s="2"/>
      <c r="E92" s="2"/>
      <c r="F92" s="2"/>
      <c r="I92" s="2"/>
    </row>
    <row r="93" spans="1:9">
      <c r="D93" s="2"/>
      <c r="E93" s="2"/>
      <c r="F93" s="2"/>
      <c r="I93" s="2"/>
    </row>
    <row r="94" spans="1:9">
      <c r="D94" s="2"/>
      <c r="E94" s="2"/>
      <c r="F94" s="2"/>
      <c r="I94" s="2"/>
    </row>
    <row r="95" spans="1:9">
      <c r="A95" s="5"/>
      <c r="B95" s="5"/>
      <c r="D95" s="2"/>
      <c r="E95" s="2"/>
      <c r="F95" s="2"/>
      <c r="I95" s="2"/>
    </row>
    <row r="96" spans="1:9">
      <c r="D96" s="2"/>
      <c r="E96" s="2"/>
      <c r="F96" s="2"/>
      <c r="I96" s="2"/>
    </row>
    <row r="97" spans="1:9">
      <c r="D97" s="2"/>
      <c r="E97" s="2"/>
      <c r="F97" s="2"/>
      <c r="I97" s="2"/>
    </row>
    <row r="98" spans="1:9">
      <c r="D98" s="2"/>
      <c r="E98" s="2"/>
      <c r="F98" s="2"/>
      <c r="I98" s="2"/>
    </row>
    <row r="99" spans="1:9">
      <c r="D99" s="2"/>
      <c r="E99" s="2"/>
      <c r="F99" s="2"/>
      <c r="I99" s="2"/>
    </row>
    <row r="100" spans="1:9">
      <c r="D100" s="2"/>
      <c r="E100" s="2"/>
      <c r="F100" s="2"/>
      <c r="I100" s="2"/>
    </row>
    <row r="101" spans="1:9">
      <c r="D101" s="2"/>
      <c r="E101" s="2"/>
      <c r="F101" s="2"/>
      <c r="I101" s="2"/>
    </row>
    <row r="102" spans="1:9">
      <c r="D102" s="2"/>
      <c r="E102" s="2"/>
      <c r="F102" s="2"/>
      <c r="I102" s="2"/>
    </row>
    <row r="103" spans="1:9">
      <c r="D103" s="2"/>
      <c r="E103" s="2"/>
      <c r="F103" s="2"/>
      <c r="I103" s="2"/>
    </row>
    <row r="104" spans="1:9">
      <c r="D104" s="2"/>
      <c r="E104" s="2"/>
      <c r="F104" s="2"/>
      <c r="I104" s="2"/>
    </row>
    <row r="105" spans="1:9">
      <c r="D105" s="2"/>
      <c r="E105" s="2"/>
      <c r="F105" s="2"/>
      <c r="I105" s="2"/>
    </row>
    <row r="106" spans="1:9">
      <c r="D106" s="2"/>
      <c r="E106" s="2"/>
      <c r="F106" s="2"/>
      <c r="I106" s="2"/>
    </row>
    <row r="107" spans="1:9">
      <c r="D107" s="2"/>
      <c r="E107" s="2"/>
      <c r="F107" s="2"/>
      <c r="I107" s="2"/>
    </row>
    <row r="108" spans="1:9">
      <c r="D108" s="2"/>
      <c r="E108" s="2"/>
      <c r="F108" s="2"/>
      <c r="I108" s="2"/>
    </row>
    <row r="109" spans="1:9">
      <c r="A109" s="13"/>
      <c r="B109" s="13"/>
      <c r="C109" s="12"/>
      <c r="D109" s="2"/>
      <c r="E109" s="2"/>
      <c r="F109" s="2"/>
      <c r="I109" s="2"/>
    </row>
    <row r="110" spans="1:9">
      <c r="A110" s="5"/>
      <c r="B110" s="5"/>
      <c r="D110" s="2"/>
      <c r="E110" s="2"/>
      <c r="F110" s="2"/>
      <c r="H110" s="2"/>
      <c r="I110" s="2"/>
    </row>
    <row r="111" spans="1:9">
      <c r="A111" s="5"/>
      <c r="B111" s="5"/>
      <c r="D111" s="2"/>
      <c r="E111" s="2"/>
      <c r="F111" s="2"/>
      <c r="I111" s="2"/>
    </row>
    <row r="112" spans="1:9">
      <c r="A112" s="5"/>
      <c r="B112" s="5"/>
      <c r="D112" s="2"/>
      <c r="E112" s="2"/>
      <c r="F112" s="2"/>
      <c r="I112" s="2"/>
    </row>
    <row r="113" spans="1:9">
      <c r="A113" s="5"/>
      <c r="B113" s="5"/>
      <c r="D113" s="2"/>
      <c r="E113" s="2"/>
      <c r="F113" s="2"/>
      <c r="I113" s="2"/>
    </row>
    <row r="114" spans="1:9">
      <c r="A114" s="5"/>
      <c r="B114" s="5"/>
      <c r="D114" s="2"/>
      <c r="E114" s="2"/>
      <c r="F114" s="2"/>
      <c r="I114" s="2"/>
    </row>
    <row r="115" spans="1:9">
      <c r="C115" s="12"/>
      <c r="D115" s="2"/>
      <c r="E115" s="2"/>
      <c r="F115" s="2"/>
      <c r="I115" s="2"/>
    </row>
    <row r="116" spans="1:9">
      <c r="A116" s="5"/>
      <c r="B116" s="5"/>
      <c r="D116" s="2"/>
      <c r="E116" s="2"/>
      <c r="F116" s="2"/>
      <c r="I116" s="2"/>
    </row>
    <row r="117" spans="1:9">
      <c r="A117" s="5"/>
      <c r="B117" s="5"/>
      <c r="D117" s="2"/>
      <c r="E117" s="2"/>
      <c r="F117" s="2"/>
      <c r="I117" s="2"/>
    </row>
    <row r="118" spans="1:9">
      <c r="A118" s="5"/>
      <c r="B118" s="5"/>
      <c r="D118" s="2"/>
      <c r="E118" s="2"/>
      <c r="F118" s="2"/>
      <c r="I118" s="2"/>
    </row>
    <row r="119" spans="1:9">
      <c r="A119" s="5"/>
      <c r="B119" s="5"/>
      <c r="D119" s="2"/>
      <c r="E119" s="2"/>
      <c r="F119" s="2"/>
      <c r="I119" s="2"/>
    </row>
    <row r="120" spans="1:9">
      <c r="A120" s="13"/>
      <c r="B120" s="13"/>
      <c r="C120" s="12"/>
      <c r="D120" s="2"/>
      <c r="E120" s="2"/>
      <c r="F120" s="2"/>
      <c r="I120" s="2"/>
    </row>
    <row r="121" spans="1:9">
      <c r="A121" s="5"/>
      <c r="B121" s="5"/>
      <c r="D121" s="2"/>
      <c r="E121" s="2"/>
      <c r="F121" s="2"/>
      <c r="I121" s="2"/>
    </row>
    <row r="122" spans="1:9">
      <c r="A122" s="5"/>
      <c r="B122" s="5"/>
      <c r="D122" s="2"/>
      <c r="E122" s="2"/>
      <c r="F122" s="2"/>
      <c r="I122" s="2"/>
    </row>
    <row r="123" spans="1:9">
      <c r="A123" s="5"/>
      <c r="B123" s="5"/>
      <c r="D123" s="2"/>
      <c r="E123" s="2"/>
      <c r="F123" s="2"/>
      <c r="I123" s="2"/>
    </row>
    <row r="124" spans="1:9">
      <c r="A124" s="13"/>
      <c r="B124" s="13"/>
      <c r="C124" s="12"/>
      <c r="D124" s="2"/>
      <c r="E124" s="2"/>
      <c r="F124" s="2"/>
      <c r="I124" s="2"/>
    </row>
    <row r="125" spans="1:9">
      <c r="A125" s="5"/>
      <c r="B125" s="5"/>
      <c r="D125" s="2"/>
      <c r="E125" s="2"/>
      <c r="F125" s="2"/>
      <c r="I125" s="2"/>
    </row>
    <row r="126" spans="1:9">
      <c r="A126" s="5"/>
      <c r="B126" s="5"/>
      <c r="D126" s="2"/>
      <c r="E126" s="2"/>
      <c r="F126" s="2"/>
      <c r="I126" s="2"/>
    </row>
    <row r="127" spans="1:9">
      <c r="A127" s="5"/>
      <c r="B127" s="5"/>
      <c r="D127" s="2"/>
      <c r="E127" s="2"/>
      <c r="F127" s="2"/>
      <c r="I127" s="2"/>
    </row>
    <row r="128" spans="1:9">
      <c r="A128" s="5"/>
      <c r="B128" s="5"/>
      <c r="D128" s="2"/>
      <c r="E128" s="2"/>
      <c r="F128" s="2"/>
      <c r="I128" s="2"/>
    </row>
    <row r="129" spans="3:9">
      <c r="D129" s="2"/>
      <c r="E129" s="6"/>
      <c r="F129" s="6"/>
      <c r="I129" s="2"/>
    </row>
    <row r="130" spans="3:9">
      <c r="D130" s="2"/>
      <c r="E130" s="6"/>
      <c r="F130" s="6"/>
      <c r="I130" s="2"/>
    </row>
    <row r="131" spans="3:9">
      <c r="D131" s="2"/>
      <c r="E131" s="6"/>
      <c r="F131" s="6"/>
      <c r="I131" s="2"/>
    </row>
    <row r="132" spans="3:9">
      <c r="D132" s="2"/>
      <c r="E132" s="6"/>
      <c r="F132" s="6"/>
      <c r="I132" s="2"/>
    </row>
    <row r="133" spans="3:9">
      <c r="D133" s="2"/>
      <c r="E133" s="6"/>
      <c r="F133" s="6"/>
      <c r="I133" s="2"/>
    </row>
    <row r="134" spans="3:9">
      <c r="D134" s="2"/>
      <c r="E134" s="6"/>
      <c r="F134" s="6"/>
      <c r="I134" s="2"/>
    </row>
    <row r="135" spans="3:9">
      <c r="D135" s="2"/>
      <c r="E135" s="6"/>
      <c r="F135" s="6"/>
      <c r="I135" s="2"/>
    </row>
    <row r="136" spans="3:9" ht="18">
      <c r="C136" s="10"/>
      <c r="D136" s="2"/>
      <c r="E136" s="6"/>
      <c r="F136" s="6"/>
      <c r="I136" s="2"/>
    </row>
    <row r="137" spans="3:9">
      <c r="D137" s="2"/>
      <c r="E137" s="6"/>
      <c r="F137" s="6"/>
      <c r="I137" s="2"/>
    </row>
    <row r="138" spans="3:9">
      <c r="D138" s="2"/>
      <c r="E138" s="6"/>
      <c r="F138" s="6"/>
      <c r="I138" s="2"/>
    </row>
    <row r="139" spans="3:9">
      <c r="D139" s="2"/>
      <c r="E139" s="6"/>
      <c r="F139" s="6"/>
      <c r="I139" s="2"/>
    </row>
    <row r="140" spans="3:9">
      <c r="D140" s="2"/>
      <c r="E140" s="6"/>
      <c r="F140" s="6"/>
      <c r="I140" s="2"/>
    </row>
    <row r="141" spans="3:9">
      <c r="D141" s="2"/>
      <c r="E141" s="6"/>
      <c r="F141" s="6"/>
      <c r="I141" s="2"/>
    </row>
    <row r="142" spans="3:9">
      <c r="D142" s="2"/>
      <c r="E142" s="6"/>
      <c r="F142" s="6"/>
      <c r="I142" s="2"/>
    </row>
    <row r="143" spans="3:9">
      <c r="D143" s="2"/>
      <c r="E143" s="6"/>
      <c r="F143" s="6"/>
      <c r="I143" s="2"/>
    </row>
    <row r="144" spans="3:9">
      <c r="D144" s="2"/>
      <c r="E144" s="6"/>
      <c r="F144" s="6"/>
      <c r="I144" s="2"/>
    </row>
    <row r="145" spans="3:9">
      <c r="D145" s="2"/>
      <c r="E145" s="6"/>
      <c r="F145" s="6"/>
      <c r="I145" s="2"/>
    </row>
    <row r="146" spans="3:9">
      <c r="D146" s="2"/>
      <c r="E146" s="6"/>
      <c r="F146" s="6"/>
      <c r="I146" s="2"/>
    </row>
    <row r="147" spans="3:9">
      <c r="D147" s="2"/>
      <c r="E147" s="6"/>
      <c r="F147" s="6"/>
      <c r="I147" s="2"/>
    </row>
    <row r="148" spans="3:9">
      <c r="D148" s="2"/>
      <c r="E148" s="6"/>
      <c r="F148" s="6"/>
      <c r="I148" s="2"/>
    </row>
    <row r="149" spans="3:9" ht="15.75">
      <c r="C149" s="9"/>
      <c r="D149" s="2"/>
      <c r="E149" s="6"/>
      <c r="F149" s="6"/>
      <c r="I149" s="2"/>
    </row>
    <row r="150" spans="3:9">
      <c r="D150" s="2"/>
      <c r="E150" s="6"/>
      <c r="F150" s="6"/>
      <c r="I150" s="2"/>
    </row>
    <row r="151" spans="3:9">
      <c r="D151" s="2"/>
      <c r="E151" s="6"/>
      <c r="F151" s="6"/>
      <c r="I151" s="2"/>
    </row>
    <row r="152" spans="3:9">
      <c r="D152" s="2"/>
      <c r="E152" s="6"/>
      <c r="F152" s="6"/>
      <c r="I152" s="2"/>
    </row>
    <row r="153" spans="3:9">
      <c r="D153" s="2"/>
      <c r="E153" s="6"/>
      <c r="F153" s="6"/>
      <c r="I153" s="2"/>
    </row>
    <row r="154" spans="3:9">
      <c r="D154" s="2"/>
      <c r="E154" s="6"/>
      <c r="F154" s="6"/>
      <c r="I154" s="2"/>
    </row>
    <row r="155" spans="3:9">
      <c r="D155" s="2"/>
      <c r="E155" s="6"/>
      <c r="F155" s="6"/>
      <c r="I155" s="2"/>
    </row>
    <row r="156" spans="3:9" ht="15.75">
      <c r="C156" s="9"/>
      <c r="D156" s="2"/>
      <c r="E156" s="6"/>
      <c r="F156" s="6"/>
      <c r="I156" s="2"/>
    </row>
    <row r="157" spans="3:9">
      <c r="D157" s="2"/>
      <c r="E157" s="6"/>
      <c r="F157" s="6"/>
      <c r="I157" s="2"/>
    </row>
    <row r="158" spans="3:9">
      <c r="D158" s="2"/>
      <c r="E158" s="6"/>
      <c r="F158" s="6"/>
      <c r="I158" s="2"/>
    </row>
    <row r="159" spans="3:9">
      <c r="D159" s="2"/>
      <c r="E159" s="6"/>
      <c r="F159" s="6"/>
      <c r="I159" s="2"/>
    </row>
    <row r="160" spans="3:9">
      <c r="D160" s="2"/>
      <c r="E160" s="6"/>
      <c r="F160" s="6"/>
      <c r="I160" s="2"/>
    </row>
    <row r="161" spans="3:9">
      <c r="D161" s="2"/>
      <c r="E161" s="6"/>
      <c r="F161" s="6"/>
      <c r="I161" s="2"/>
    </row>
    <row r="162" spans="3:9">
      <c r="D162" s="2"/>
      <c r="E162" s="6"/>
      <c r="F162" s="6"/>
      <c r="I162" s="2"/>
    </row>
    <row r="163" spans="3:9">
      <c r="D163" s="2"/>
      <c r="E163" s="6"/>
      <c r="F163" s="6"/>
      <c r="I163" s="2"/>
    </row>
    <row r="164" spans="3:9">
      <c r="D164" s="2"/>
      <c r="E164" s="6"/>
      <c r="F164" s="6"/>
      <c r="I164" s="2"/>
    </row>
    <row r="165" spans="3:9">
      <c r="D165" s="2"/>
      <c r="E165" s="6"/>
      <c r="F165" s="6"/>
      <c r="I165" s="2"/>
    </row>
    <row r="166" spans="3:9" ht="18">
      <c r="C166" s="10"/>
      <c r="D166" s="2"/>
      <c r="E166" s="6"/>
      <c r="F166" s="6"/>
      <c r="I166" s="2"/>
    </row>
    <row r="167" spans="3:9">
      <c r="D167" s="2"/>
      <c r="E167" s="6"/>
      <c r="F167" s="6"/>
      <c r="I167" s="2"/>
    </row>
    <row r="168" spans="3:9">
      <c r="D168" s="2"/>
      <c r="E168" s="6"/>
      <c r="F168" s="6"/>
      <c r="I168" s="2"/>
    </row>
    <row r="169" spans="3:9">
      <c r="D169" s="2"/>
      <c r="E169" s="6"/>
      <c r="F169" s="6"/>
      <c r="I169" s="2"/>
    </row>
    <row r="170" spans="3:9">
      <c r="D170" s="2"/>
      <c r="E170" s="6"/>
      <c r="F170" s="6"/>
      <c r="I170" s="2"/>
    </row>
    <row r="171" spans="3:9">
      <c r="D171" s="2"/>
      <c r="E171" s="6"/>
      <c r="F171" s="6"/>
      <c r="I171" s="2"/>
    </row>
    <row r="172" spans="3:9">
      <c r="D172" s="2"/>
      <c r="E172" s="6"/>
      <c r="F172" s="6"/>
      <c r="I172" s="2"/>
    </row>
    <row r="173" spans="3:9">
      <c r="D173" s="2"/>
      <c r="E173" s="6"/>
      <c r="F173" s="6"/>
      <c r="I173" s="2"/>
    </row>
    <row r="174" spans="3:9" ht="20.25">
      <c r="C174" s="7"/>
      <c r="D174" s="2"/>
      <c r="E174" s="6"/>
      <c r="F174" s="6"/>
      <c r="I174" s="2"/>
    </row>
    <row r="175" spans="3:9">
      <c r="D175" s="2"/>
      <c r="E175" s="6"/>
      <c r="F175" s="6"/>
      <c r="I175" s="2"/>
    </row>
    <row r="176" spans="3:9">
      <c r="D176" s="2"/>
      <c r="E176" s="6"/>
      <c r="F176" s="6"/>
      <c r="I176" s="2"/>
    </row>
    <row r="177" spans="3:9">
      <c r="C177" s="11"/>
      <c r="D177" s="2"/>
      <c r="E177" s="6"/>
      <c r="F177" s="6"/>
      <c r="I177" s="2"/>
    </row>
    <row r="178" spans="3:9">
      <c r="D178" s="2"/>
      <c r="E178" s="6"/>
      <c r="F178" s="6"/>
      <c r="I178" s="2"/>
    </row>
    <row r="179" spans="3:9">
      <c r="D179" s="2"/>
      <c r="E179" s="6"/>
      <c r="F179" s="6"/>
      <c r="I179" s="2"/>
    </row>
    <row r="180" spans="3:9">
      <c r="D180" s="2"/>
      <c r="E180" s="6"/>
      <c r="F180" s="6"/>
      <c r="I180" s="2"/>
    </row>
    <row r="181" spans="3:9">
      <c r="C181" s="11"/>
      <c r="D181" s="2"/>
      <c r="E181" s="6"/>
      <c r="F181" s="6"/>
      <c r="I181" s="2"/>
    </row>
    <row r="182" spans="3:9">
      <c r="C182" s="11"/>
      <c r="D182" s="2"/>
      <c r="E182" s="6"/>
      <c r="F182" s="6"/>
      <c r="I182" s="2"/>
    </row>
    <row r="183" spans="3:9">
      <c r="D183" s="2"/>
      <c r="E183" s="6"/>
      <c r="F183" s="6"/>
      <c r="I183" s="2"/>
    </row>
    <row r="184" spans="3:9">
      <c r="C184" s="11"/>
      <c r="D184" s="2"/>
      <c r="E184" s="6"/>
      <c r="F184" s="6"/>
      <c r="I184" s="2"/>
    </row>
    <row r="185" spans="3:9">
      <c r="C185" s="11"/>
      <c r="D185" s="2"/>
      <c r="E185" s="6"/>
      <c r="F185" s="6"/>
      <c r="I185" s="2"/>
    </row>
    <row r="186" spans="3:9">
      <c r="D186" s="2"/>
      <c r="E186" s="6"/>
      <c r="F186" s="6"/>
      <c r="I186" s="2"/>
    </row>
    <row r="187" spans="3:9">
      <c r="C187" s="11"/>
      <c r="D187" s="2"/>
      <c r="E187" s="6"/>
      <c r="F187" s="6"/>
      <c r="I187" s="2"/>
    </row>
    <row r="188" spans="3:9">
      <c r="C188" s="11"/>
      <c r="D188" s="2"/>
      <c r="E188" s="6"/>
      <c r="F188" s="6"/>
      <c r="I188" s="2"/>
    </row>
    <row r="189" spans="3:9">
      <c r="C189" s="11"/>
      <c r="D189" s="2"/>
      <c r="E189" s="6"/>
      <c r="F189" s="6"/>
      <c r="I189" s="2"/>
    </row>
    <row r="190" spans="3:9">
      <c r="C190" s="11"/>
      <c r="D190" s="2"/>
      <c r="E190" s="6"/>
      <c r="F190" s="6"/>
      <c r="I190" s="2"/>
    </row>
    <row r="191" spans="3:9">
      <c r="C191" s="11"/>
      <c r="D191" s="2"/>
      <c r="E191" s="6"/>
      <c r="F191" s="6"/>
      <c r="I191" s="2"/>
    </row>
    <row r="192" spans="3:9" ht="20.25">
      <c r="C192" s="7"/>
      <c r="D192" s="2"/>
      <c r="E192" s="6"/>
      <c r="F192" s="6"/>
      <c r="I192" s="2"/>
    </row>
    <row r="193" spans="3:9">
      <c r="D193" s="2"/>
      <c r="E193" s="6"/>
      <c r="F193" s="6"/>
      <c r="I193" s="2"/>
    </row>
    <row r="194" spans="3:9">
      <c r="D194" s="2"/>
      <c r="E194" s="6"/>
      <c r="F194" s="6"/>
      <c r="I194" s="2"/>
    </row>
    <row r="195" spans="3:9" ht="18">
      <c r="C195" s="8"/>
      <c r="D195" s="2"/>
      <c r="E195" s="6"/>
      <c r="F195" s="6"/>
      <c r="I195" s="2"/>
    </row>
    <row r="196" spans="3:9">
      <c r="D196" s="2"/>
      <c r="I196" s="2"/>
    </row>
    <row r="197" spans="3:9">
      <c r="D197" s="2"/>
      <c r="I197" s="2"/>
    </row>
    <row r="198" spans="3:9">
      <c r="D198" s="2"/>
      <c r="I198" s="2"/>
    </row>
    <row r="199" spans="3:9">
      <c r="D199" s="2"/>
      <c r="I199" s="2"/>
    </row>
    <row r="200" spans="3:9">
      <c r="D200" s="2"/>
      <c r="I200" s="2"/>
    </row>
    <row r="201" spans="3:9">
      <c r="D201" s="2"/>
      <c r="I201" s="2"/>
    </row>
    <row r="202" spans="3:9">
      <c r="D202" s="2"/>
      <c r="I202" s="2"/>
    </row>
    <row r="203" spans="3:9">
      <c r="D203" s="2"/>
      <c r="I203" s="2"/>
    </row>
    <row r="204" spans="3:9">
      <c r="D204" s="2"/>
      <c r="I204" s="2"/>
    </row>
    <row r="205" spans="3:9">
      <c r="D205" s="2"/>
      <c r="I205" s="2"/>
    </row>
    <row r="206" spans="3:9">
      <c r="D206" s="2"/>
      <c r="I206" s="2"/>
    </row>
    <row r="207" spans="3:9">
      <c r="D207" s="2"/>
      <c r="I207" s="2"/>
    </row>
    <row r="208" spans="3:9">
      <c r="D208" s="2"/>
      <c r="I208" s="2"/>
    </row>
    <row r="209" spans="4:9">
      <c r="D209" s="2"/>
      <c r="I209" s="2"/>
    </row>
    <row r="210" spans="4:9">
      <c r="D210" s="2"/>
      <c r="I210" s="2"/>
    </row>
    <row r="211" spans="4:9">
      <c r="D211" s="2"/>
      <c r="I211" s="2"/>
    </row>
    <row r="212" spans="4:9">
      <c r="D212" s="2"/>
      <c r="I212" s="2"/>
    </row>
    <row r="213" spans="4:9">
      <c r="D213" s="2"/>
      <c r="I213" s="2"/>
    </row>
    <row r="214" spans="4:9">
      <c r="D214" s="2"/>
      <c r="I214" s="2"/>
    </row>
    <row r="215" spans="4:9">
      <c r="D215" s="2"/>
      <c r="I215" s="2"/>
    </row>
    <row r="216" spans="4:9">
      <c r="D216" s="2"/>
      <c r="I216" s="2"/>
    </row>
    <row r="217" spans="4:9">
      <c r="D217" s="2"/>
      <c r="I217" s="2"/>
    </row>
    <row r="218" spans="4:9">
      <c r="D218" s="2"/>
      <c r="I218" s="2"/>
    </row>
    <row r="219" spans="4:9">
      <c r="D219" s="2"/>
      <c r="I219" s="2"/>
    </row>
    <row r="220" spans="4:9">
      <c r="D220" s="2"/>
      <c r="I220" s="2"/>
    </row>
    <row r="221" spans="4:9">
      <c r="D221" s="2"/>
      <c r="I221" s="2"/>
    </row>
    <row r="222" spans="4:9">
      <c r="D222" s="2"/>
      <c r="I222" s="2"/>
    </row>
    <row r="223" spans="4:9">
      <c r="D223" s="2"/>
      <c r="I223" s="2"/>
    </row>
    <row r="224" spans="4:9">
      <c r="D224" s="2"/>
      <c r="I224" s="2"/>
    </row>
    <row r="225" spans="4:9">
      <c r="D225" s="2"/>
      <c r="I225" s="2"/>
    </row>
    <row r="226" spans="4:9">
      <c r="D226" s="2"/>
      <c r="I226" s="2"/>
    </row>
    <row r="227" spans="4:9">
      <c r="D227" s="2"/>
      <c r="I227" s="2"/>
    </row>
    <row r="228" spans="4:9">
      <c r="D228" s="2"/>
      <c r="I228" s="2"/>
    </row>
    <row r="229" spans="4:9">
      <c r="D229" s="2"/>
      <c r="I229" s="2"/>
    </row>
    <row r="230" spans="4:9">
      <c r="D230" s="2"/>
      <c r="I230" s="2"/>
    </row>
    <row r="231" spans="4:9">
      <c r="D231" s="2"/>
      <c r="I231" s="2"/>
    </row>
    <row r="232" spans="4:9">
      <c r="D232" s="2"/>
      <c r="I232" s="2"/>
    </row>
    <row r="233" spans="4:9">
      <c r="D233" s="2"/>
      <c r="I233" s="2"/>
    </row>
    <row r="234" spans="4:9">
      <c r="D234" s="2"/>
      <c r="I234" s="2"/>
    </row>
    <row r="235" spans="4:9">
      <c r="D235" s="2"/>
      <c r="I235" s="2"/>
    </row>
    <row r="236" spans="4:9">
      <c r="D236" s="2"/>
      <c r="I236" s="2"/>
    </row>
    <row r="237" spans="4:9">
      <c r="D237" s="2"/>
      <c r="I237" s="2"/>
    </row>
    <row r="238" spans="4:9">
      <c r="D238" s="2"/>
      <c r="I238" s="2"/>
    </row>
    <row r="239" spans="4:9">
      <c r="D239" s="2"/>
      <c r="I239" s="2"/>
    </row>
    <row r="240" spans="4:9">
      <c r="D240" s="2"/>
      <c r="I240" s="2"/>
    </row>
    <row r="241" spans="4:9">
      <c r="D241" s="2"/>
      <c r="I241" s="2"/>
    </row>
    <row r="242" spans="4:9">
      <c r="D242" s="2"/>
      <c r="I242" s="2"/>
    </row>
    <row r="243" spans="4:9">
      <c r="D243" s="2"/>
      <c r="I243" s="2"/>
    </row>
    <row r="244" spans="4:9">
      <c r="D244" s="2"/>
      <c r="I244" s="2"/>
    </row>
    <row r="245" spans="4:9">
      <c r="D245" s="2"/>
      <c r="I245" s="2"/>
    </row>
    <row r="246" spans="4:9">
      <c r="D246" s="2"/>
    </row>
    <row r="247" spans="4:9">
      <c r="D247" s="2"/>
    </row>
    <row r="248" spans="4:9">
      <c r="D248" s="2"/>
    </row>
    <row r="249" spans="4:9">
      <c r="D249" s="2"/>
    </row>
    <row r="250" spans="4:9">
      <c r="D250" s="2"/>
    </row>
    <row r="251" spans="4:9">
      <c r="D251" s="2"/>
    </row>
    <row r="252" spans="4:9">
      <c r="D252" s="2"/>
    </row>
    <row r="253" spans="4:9">
      <c r="D253" s="2"/>
    </row>
    <row r="254" spans="4:9">
      <c r="D254" s="2"/>
    </row>
  </sheetData>
  <autoFilter ref="A1:M202" xr:uid="{DB837559-656A-1441-87D8-565123012DF8}"/>
  <pageMargins left="0.75" right="0.75" top="1" bottom="1" header="0.5" footer="0.5"/>
  <pageSetup orientation="portrait" r:id="rId1"/>
  <headerFooter alignWithMargins="0"/>
  <extLst>
    <ext xmlns:x14="http://schemas.microsoft.com/office/spreadsheetml/2009/9/main" uri="{CCE6A557-97BC-4b89-ADB6-D9C93CAAB3DF}">
      <x14:dataValidations xmlns:xm="http://schemas.microsoft.com/office/excel/2006/main" count="7">
        <x14:dataValidation type="list" allowBlank="1" showInputMessage="1" showErrorMessage="1" xr:uid="{5729C349-6323-483D-80E4-B18239A58DAF}">
          <x14:formula1>
            <xm:f>'Common Data'!$B$3:$B$8</xm:f>
          </x14:formula1>
          <xm:sqref>M108:M128 M70</xm:sqref>
        </x14:dataValidation>
        <x14:dataValidation type="list" allowBlank="1" showInputMessage="1" showErrorMessage="1" xr:uid="{16CB0F6F-608A-41CA-8A66-B9230C732F4C}">
          <x14:formula1>
            <xm:f>'Common Data'!$E$3:$E$13</xm:f>
          </x14:formula1>
          <xm:sqref>K2:L128</xm:sqref>
        </x14:dataValidation>
        <x14:dataValidation type="list" allowBlank="1" showInputMessage="1" showErrorMessage="1" xr:uid="{BAE4EFA2-1D20-44E3-AC67-BD807678EF17}">
          <x14:formula1>
            <xm:f>'Common Data'!$C$3:$C$12</xm:f>
          </x14:formula1>
          <xm:sqref>J2:J128</xm:sqref>
        </x14:dataValidation>
        <x14:dataValidation type="list" allowBlank="1" showInputMessage="1" showErrorMessage="1" xr:uid="{5659031B-954D-4758-B494-F2D7C62EE6B0}">
          <x14:formula1>
            <xm:f>'Common Data'!$B$3:$B$7</xm:f>
          </x14:formula1>
          <xm:sqref>M129:M245 M71:M107 M67:M69</xm:sqref>
        </x14:dataValidation>
        <x14:dataValidation type="list" allowBlank="1" showInputMessage="1" showErrorMessage="1" xr:uid="{29CF9AA9-01BA-40BE-BA2A-0F938D1CEAF9}">
          <x14:formula1>
            <xm:f>'Common Data'!$C$3:$C$10</xm:f>
          </x14:formula1>
          <xm:sqref>J129:J245</xm:sqref>
        </x14:dataValidation>
        <x14:dataValidation type="list" allowBlank="1" showInputMessage="1" showErrorMessage="1" xr:uid="{2129D905-1EB5-4788-9056-11989235B9F4}">
          <x14:formula1>
            <xm:f>'Common Data'!$D$3:$D$7</xm:f>
          </x14:formula1>
          <xm:sqref>I2:I245</xm:sqref>
        </x14:dataValidation>
        <x14:dataValidation type="list" allowBlank="1" showInputMessage="1" showErrorMessage="1" xr:uid="{374CC04B-DE02-449D-992E-0053440D196B}">
          <x14:formula1>
            <xm:f>'Common Data'!$A$3:$A$13</xm:f>
          </x14:formula1>
          <xm:sqref>D67:D245</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29B75C-9E21-40F3-89F1-9DD37A98DCD1}">
  <dimension ref="A1:AD66"/>
  <sheetViews>
    <sheetView workbookViewId="0">
      <selection activeCell="H65" sqref="A1:M66"/>
    </sheetView>
  </sheetViews>
  <sheetFormatPr defaultRowHeight="15"/>
  <cols>
    <col min="1" max="1" width="27.85546875" style="68" customWidth="1"/>
    <col min="2" max="16384" width="9.140625" style="68"/>
  </cols>
  <sheetData>
    <row r="1" spans="1:30">
      <c r="A1" s="68" t="s">
        <v>338</v>
      </c>
      <c r="B1" s="68" t="s">
        <v>339</v>
      </c>
      <c r="C1" s="68" t="s">
        <v>340</v>
      </c>
      <c r="D1" s="68" t="s">
        <v>341</v>
      </c>
      <c r="E1" s="68" t="s">
        <v>342</v>
      </c>
      <c r="F1" s="68" t="s">
        <v>343</v>
      </c>
      <c r="G1" s="68" t="s">
        <v>344</v>
      </c>
      <c r="H1" s="68" t="s">
        <v>345</v>
      </c>
      <c r="I1" s="68" t="s">
        <v>346</v>
      </c>
      <c r="J1" s="68" t="s">
        <v>4</v>
      </c>
      <c r="K1" s="68" t="s">
        <v>24</v>
      </c>
      <c r="L1" s="68" t="s">
        <v>347</v>
      </c>
      <c r="M1" s="68" t="s">
        <v>348</v>
      </c>
      <c r="N1" s="68" t="s">
        <v>349</v>
      </c>
      <c r="O1" s="68" t="s">
        <v>350</v>
      </c>
      <c r="P1" s="68" t="s">
        <v>351</v>
      </c>
      <c r="Q1" s="68" t="s">
        <v>352</v>
      </c>
      <c r="R1" s="68" t="s">
        <v>353</v>
      </c>
      <c r="S1" s="68" t="s">
        <v>354</v>
      </c>
      <c r="T1" s="68" t="s">
        <v>355</v>
      </c>
      <c r="U1" s="68" t="s">
        <v>356</v>
      </c>
      <c r="V1" s="68" t="s">
        <v>357</v>
      </c>
      <c r="W1" s="68" t="s">
        <v>358</v>
      </c>
      <c r="X1" s="68" t="s">
        <v>359</v>
      </c>
      <c r="Y1" s="68" t="s">
        <v>360</v>
      </c>
      <c r="Z1" s="68" t="s">
        <v>361</v>
      </c>
      <c r="AA1" s="68" t="s">
        <v>362</v>
      </c>
      <c r="AB1" s="68" t="s">
        <v>363</v>
      </c>
      <c r="AC1" s="68" t="s">
        <v>364</v>
      </c>
      <c r="AD1" s="68" t="s">
        <v>365</v>
      </c>
    </row>
    <row r="2" spans="1:30">
      <c r="A2" s="68" t="s">
        <v>366</v>
      </c>
      <c r="B2" s="68" t="s">
        <v>367</v>
      </c>
      <c r="C2" s="68" t="s">
        <v>368</v>
      </c>
      <c r="E2" s="68">
        <v>1</v>
      </c>
      <c r="F2" s="68">
        <v>1</v>
      </c>
      <c r="G2" s="68" t="s">
        <v>369</v>
      </c>
      <c r="H2" s="68" t="s">
        <v>370</v>
      </c>
      <c r="I2" s="68" t="s">
        <v>371</v>
      </c>
      <c r="J2" s="68" t="s">
        <v>372</v>
      </c>
      <c r="K2" s="68" t="s">
        <v>373</v>
      </c>
      <c r="M2" s="68" t="s">
        <v>105</v>
      </c>
      <c r="O2" s="69">
        <v>46098.825023148151</v>
      </c>
      <c r="P2" s="69">
        <v>46099.578935185185</v>
      </c>
      <c r="Q2" s="68" t="s">
        <v>374</v>
      </c>
      <c r="R2" s="68" t="s">
        <v>100</v>
      </c>
      <c r="S2" s="68" t="s">
        <v>80</v>
      </c>
      <c r="AC2" s="68" t="s">
        <v>375</v>
      </c>
      <c r="AD2" s="68" t="s">
        <v>376</v>
      </c>
    </row>
    <row r="3" spans="1:30">
      <c r="A3" s="68" t="s">
        <v>377</v>
      </c>
      <c r="B3" s="68" t="s">
        <v>367</v>
      </c>
      <c r="C3" s="68" t="s">
        <v>378</v>
      </c>
      <c r="E3" s="68">
        <v>1</v>
      </c>
      <c r="F3" s="68">
        <v>1</v>
      </c>
      <c r="G3" s="68" t="s">
        <v>369</v>
      </c>
      <c r="H3" s="68" t="s">
        <v>370</v>
      </c>
      <c r="I3" s="68" t="s">
        <v>371</v>
      </c>
      <c r="J3" s="68" t="s">
        <v>372</v>
      </c>
      <c r="K3" s="68" t="s">
        <v>373</v>
      </c>
      <c r="M3" s="68" t="s">
        <v>105</v>
      </c>
      <c r="O3" s="69">
        <v>46098.825324074074</v>
      </c>
      <c r="P3" s="69">
        <v>46099.579039351855</v>
      </c>
      <c r="Q3" s="68" t="s">
        <v>374</v>
      </c>
      <c r="R3" s="68" t="s">
        <v>98</v>
      </c>
      <c r="S3" s="68" t="s">
        <v>80</v>
      </c>
      <c r="AC3" s="68" t="s">
        <v>376</v>
      </c>
    </row>
    <row r="4" spans="1:30" ht="409.5">
      <c r="A4" s="68" t="s">
        <v>150</v>
      </c>
      <c r="B4" s="68" t="s">
        <v>367</v>
      </c>
      <c r="C4" s="68" t="s">
        <v>379</v>
      </c>
      <c r="E4" s="68">
        <v>1</v>
      </c>
      <c r="F4" s="68">
        <v>1</v>
      </c>
      <c r="G4" s="68" t="s">
        <v>380</v>
      </c>
      <c r="H4" s="68" t="s">
        <v>381</v>
      </c>
      <c r="I4" s="68" t="s">
        <v>371</v>
      </c>
      <c r="J4" s="68" t="s">
        <v>372</v>
      </c>
      <c r="K4" s="68" t="s">
        <v>373</v>
      </c>
      <c r="M4" s="68" t="s">
        <v>105</v>
      </c>
      <c r="O4" s="69">
        <v>46098.831608796296</v>
      </c>
      <c r="P4" s="69">
        <v>46099.578935185185</v>
      </c>
      <c r="Q4" s="68" t="s">
        <v>382</v>
      </c>
      <c r="R4" s="68" t="s">
        <v>151</v>
      </c>
      <c r="S4" s="68" t="s">
        <v>70</v>
      </c>
      <c r="T4" s="68" t="s">
        <v>142</v>
      </c>
      <c r="U4" s="68" t="s">
        <v>102</v>
      </c>
      <c r="V4" s="68" t="s">
        <v>152</v>
      </c>
      <c r="W4" s="70" t="s">
        <v>383</v>
      </c>
      <c r="X4" s="68" t="s">
        <v>105</v>
      </c>
      <c r="AC4" s="68" t="s">
        <v>384</v>
      </c>
      <c r="AD4" s="68" t="s">
        <v>375</v>
      </c>
    </row>
    <row r="5" spans="1:30" ht="409.5">
      <c r="A5" s="68" t="s">
        <v>203</v>
      </c>
      <c r="B5" s="68" t="s">
        <v>367</v>
      </c>
      <c r="C5" s="68" t="s">
        <v>385</v>
      </c>
      <c r="E5" s="68">
        <v>1</v>
      </c>
      <c r="F5" s="68">
        <v>1</v>
      </c>
      <c r="G5" s="68" t="s">
        <v>380</v>
      </c>
      <c r="H5" s="68" t="s">
        <v>381</v>
      </c>
      <c r="I5" s="68" t="s">
        <v>371</v>
      </c>
      <c r="J5" s="68" t="s">
        <v>372</v>
      </c>
      <c r="K5" s="68" t="s">
        <v>373</v>
      </c>
      <c r="M5" s="68" t="s">
        <v>105</v>
      </c>
      <c r="O5" s="69">
        <v>46098.831608796296</v>
      </c>
      <c r="P5" s="69">
        <v>46099.578935185185</v>
      </c>
      <c r="Q5" s="68" t="s">
        <v>382</v>
      </c>
      <c r="R5" s="68" t="s">
        <v>204</v>
      </c>
      <c r="S5" s="68" t="s">
        <v>70</v>
      </c>
      <c r="T5" s="68" t="s">
        <v>205</v>
      </c>
      <c r="U5" s="68" t="s">
        <v>102</v>
      </c>
      <c r="V5" s="68" t="s">
        <v>206</v>
      </c>
      <c r="W5" s="70" t="s">
        <v>386</v>
      </c>
      <c r="X5" s="68" t="s">
        <v>105</v>
      </c>
      <c r="AC5" s="68" t="s">
        <v>387</v>
      </c>
      <c r="AD5" s="68" t="s">
        <v>375</v>
      </c>
    </row>
    <row r="6" spans="1:30" ht="409.5">
      <c r="A6" s="68" t="s">
        <v>231</v>
      </c>
      <c r="B6" s="68" t="s">
        <v>367</v>
      </c>
      <c r="C6" s="68" t="s">
        <v>388</v>
      </c>
      <c r="E6" s="68">
        <v>1</v>
      </c>
      <c r="F6" s="68">
        <v>1</v>
      </c>
      <c r="G6" s="68" t="s">
        <v>380</v>
      </c>
      <c r="H6" s="68" t="s">
        <v>381</v>
      </c>
      <c r="I6" s="68" t="s">
        <v>371</v>
      </c>
      <c r="J6" s="68" t="s">
        <v>372</v>
      </c>
      <c r="K6" s="68" t="s">
        <v>373</v>
      </c>
      <c r="M6" s="68" t="s">
        <v>105</v>
      </c>
      <c r="O6" s="69">
        <v>46098.831608796296</v>
      </c>
      <c r="P6" s="69">
        <v>46099.578935185185</v>
      </c>
      <c r="Q6" s="68" t="s">
        <v>382</v>
      </c>
      <c r="R6" s="68" t="s">
        <v>232</v>
      </c>
      <c r="S6" s="68" t="s">
        <v>70</v>
      </c>
      <c r="T6" s="68" t="s">
        <v>227</v>
      </c>
      <c r="U6" s="68" t="s">
        <v>102</v>
      </c>
      <c r="V6" s="68" t="s">
        <v>233</v>
      </c>
      <c r="W6" s="70" t="s">
        <v>389</v>
      </c>
      <c r="X6" s="68" t="s">
        <v>105</v>
      </c>
      <c r="AC6" s="68" t="s">
        <v>390</v>
      </c>
      <c r="AD6" s="68" t="s">
        <v>375</v>
      </c>
    </row>
    <row r="7" spans="1:30" ht="409.5">
      <c r="A7" s="68" t="s">
        <v>144</v>
      </c>
      <c r="B7" s="68" t="s">
        <v>367</v>
      </c>
      <c r="C7" s="68" t="s">
        <v>391</v>
      </c>
      <c r="E7" s="68">
        <v>1</v>
      </c>
      <c r="F7" s="68">
        <v>1</v>
      </c>
      <c r="G7" s="68" t="s">
        <v>380</v>
      </c>
      <c r="H7" s="68" t="s">
        <v>381</v>
      </c>
      <c r="I7" s="68" t="s">
        <v>371</v>
      </c>
      <c r="J7" s="68" t="s">
        <v>372</v>
      </c>
      <c r="K7" s="68" t="s">
        <v>373</v>
      </c>
      <c r="M7" s="68" t="s">
        <v>105</v>
      </c>
      <c r="O7" s="69">
        <v>46098.831608796296</v>
      </c>
      <c r="P7" s="69">
        <v>46099.578935185185</v>
      </c>
      <c r="Q7" s="68" t="s">
        <v>382</v>
      </c>
      <c r="R7" s="68" t="s">
        <v>145</v>
      </c>
      <c r="S7" s="68" t="s">
        <v>70</v>
      </c>
      <c r="T7" s="68" t="s">
        <v>142</v>
      </c>
      <c r="U7" s="68" t="s">
        <v>102</v>
      </c>
      <c r="V7" s="68" t="s">
        <v>146</v>
      </c>
      <c r="W7" s="70" t="s">
        <v>383</v>
      </c>
      <c r="X7" s="68" t="s">
        <v>105</v>
      </c>
      <c r="AC7" s="68" t="s">
        <v>392</v>
      </c>
      <c r="AD7" s="68" t="s">
        <v>375</v>
      </c>
    </row>
    <row r="8" spans="1:30" ht="409.5">
      <c r="A8" s="68" t="s">
        <v>133</v>
      </c>
      <c r="B8" s="68" t="s">
        <v>367</v>
      </c>
      <c r="C8" s="68" t="s">
        <v>393</v>
      </c>
      <c r="E8" s="68">
        <v>1</v>
      </c>
      <c r="F8" s="68">
        <v>1</v>
      </c>
      <c r="G8" s="68" t="s">
        <v>380</v>
      </c>
      <c r="H8" s="68" t="s">
        <v>381</v>
      </c>
      <c r="I8" s="68" t="s">
        <v>371</v>
      </c>
      <c r="J8" s="68" t="s">
        <v>372</v>
      </c>
      <c r="K8" s="68" t="s">
        <v>373</v>
      </c>
      <c r="M8" s="68" t="s">
        <v>105</v>
      </c>
      <c r="O8" s="69">
        <v>46098.831608796296</v>
      </c>
      <c r="P8" s="69">
        <v>46099.578935185185</v>
      </c>
      <c r="Q8" s="68" t="s">
        <v>382</v>
      </c>
      <c r="R8" s="68" t="s">
        <v>394</v>
      </c>
      <c r="S8" s="68" t="s">
        <v>70</v>
      </c>
      <c r="T8" s="68" t="s">
        <v>131</v>
      </c>
      <c r="U8" s="68" t="s">
        <v>102</v>
      </c>
      <c r="V8" s="68" t="s">
        <v>134</v>
      </c>
      <c r="W8" s="70" t="s">
        <v>395</v>
      </c>
      <c r="X8" s="68" t="s">
        <v>105</v>
      </c>
      <c r="AC8" s="68" t="s">
        <v>396</v>
      </c>
      <c r="AD8" s="68" t="s">
        <v>375</v>
      </c>
    </row>
    <row r="9" spans="1:30" ht="409.5">
      <c r="A9" s="68" t="s">
        <v>225</v>
      </c>
      <c r="B9" s="68" t="s">
        <v>367</v>
      </c>
      <c r="C9" s="68" t="s">
        <v>397</v>
      </c>
      <c r="E9" s="68">
        <v>1</v>
      </c>
      <c r="F9" s="68">
        <v>1</v>
      </c>
      <c r="G9" s="68" t="s">
        <v>380</v>
      </c>
      <c r="H9" s="68" t="s">
        <v>381</v>
      </c>
      <c r="I9" s="68" t="s">
        <v>371</v>
      </c>
      <c r="J9" s="68" t="s">
        <v>372</v>
      </c>
      <c r="K9" s="68" t="s">
        <v>373</v>
      </c>
      <c r="M9" s="68" t="s">
        <v>105</v>
      </c>
      <c r="O9" s="69">
        <v>46098.831608796296</v>
      </c>
      <c r="P9" s="69">
        <v>46099.578935185185</v>
      </c>
      <c r="Q9" s="68" t="s">
        <v>382</v>
      </c>
      <c r="R9" s="68" t="s">
        <v>226</v>
      </c>
      <c r="S9" s="68" t="s">
        <v>70</v>
      </c>
      <c r="T9" s="68" t="s">
        <v>227</v>
      </c>
      <c r="U9" s="68" t="s">
        <v>102</v>
      </c>
      <c r="V9" s="68" t="s">
        <v>228</v>
      </c>
      <c r="W9" s="70" t="s">
        <v>389</v>
      </c>
      <c r="X9" s="68" t="s">
        <v>105</v>
      </c>
      <c r="AC9" s="68" t="s">
        <v>398</v>
      </c>
      <c r="AD9" s="68" t="s">
        <v>375</v>
      </c>
    </row>
    <row r="10" spans="1:30" ht="375">
      <c r="A10" s="68" t="s">
        <v>264</v>
      </c>
      <c r="B10" s="68" t="s">
        <v>367</v>
      </c>
      <c r="C10" s="68" t="s">
        <v>399</v>
      </c>
      <c r="E10" s="68">
        <v>1</v>
      </c>
      <c r="F10" s="68">
        <v>1</v>
      </c>
      <c r="G10" s="68" t="s">
        <v>380</v>
      </c>
      <c r="H10" s="68" t="s">
        <v>381</v>
      </c>
      <c r="I10" s="68" t="s">
        <v>371</v>
      </c>
      <c r="J10" s="68" t="s">
        <v>372</v>
      </c>
      <c r="K10" s="68" t="s">
        <v>373</v>
      </c>
      <c r="M10" s="68" t="s">
        <v>105</v>
      </c>
      <c r="O10" s="69">
        <v>46098.831608796296</v>
      </c>
      <c r="P10" s="69">
        <v>46099.578935185185</v>
      </c>
      <c r="Q10" s="68" t="s">
        <v>382</v>
      </c>
      <c r="R10" s="68" t="s">
        <v>265</v>
      </c>
      <c r="S10" s="68" t="s">
        <v>70</v>
      </c>
      <c r="T10" s="68" t="s">
        <v>262</v>
      </c>
      <c r="U10" s="68" t="s">
        <v>102</v>
      </c>
      <c r="V10" s="68" t="s">
        <v>266</v>
      </c>
      <c r="W10" s="70" t="s">
        <v>400</v>
      </c>
      <c r="X10" s="68" t="s">
        <v>105</v>
      </c>
      <c r="AC10" s="68" t="s">
        <v>401</v>
      </c>
      <c r="AD10" s="68" t="s">
        <v>375</v>
      </c>
    </row>
    <row r="11" spans="1:30" ht="409.5">
      <c r="A11" s="68" t="s">
        <v>218</v>
      </c>
      <c r="B11" s="68" t="s">
        <v>367</v>
      </c>
      <c r="C11" s="68" t="s">
        <v>402</v>
      </c>
      <c r="E11" s="68">
        <v>1</v>
      </c>
      <c r="F11" s="68">
        <v>1</v>
      </c>
      <c r="G11" s="68" t="s">
        <v>380</v>
      </c>
      <c r="H11" s="68" t="s">
        <v>381</v>
      </c>
      <c r="I11" s="68" t="s">
        <v>371</v>
      </c>
      <c r="J11" s="68" t="s">
        <v>372</v>
      </c>
      <c r="K11" s="68" t="s">
        <v>373</v>
      </c>
      <c r="M11" s="68" t="s">
        <v>105</v>
      </c>
      <c r="O11" s="69">
        <v>46098.831608796296</v>
      </c>
      <c r="P11" s="69">
        <v>46099.578935185185</v>
      </c>
      <c r="Q11" s="68" t="s">
        <v>382</v>
      </c>
      <c r="R11" s="68" t="s">
        <v>403</v>
      </c>
      <c r="S11" s="68" t="s">
        <v>70</v>
      </c>
      <c r="T11" s="68" t="s">
        <v>216</v>
      </c>
      <c r="U11" s="68" t="s">
        <v>102</v>
      </c>
      <c r="V11" s="68" t="s">
        <v>219</v>
      </c>
      <c r="W11" s="70" t="s">
        <v>404</v>
      </c>
      <c r="X11" s="68" t="s">
        <v>105</v>
      </c>
      <c r="AC11" s="68" t="s">
        <v>405</v>
      </c>
      <c r="AD11" s="68" t="s">
        <v>375</v>
      </c>
    </row>
    <row r="12" spans="1:30" ht="409.5">
      <c r="A12" s="68" t="s">
        <v>116</v>
      </c>
      <c r="B12" s="68" t="s">
        <v>367</v>
      </c>
      <c r="C12" s="68" t="s">
        <v>406</v>
      </c>
      <c r="E12" s="68">
        <v>1</v>
      </c>
      <c r="F12" s="68">
        <v>1</v>
      </c>
      <c r="G12" s="68" t="s">
        <v>380</v>
      </c>
      <c r="H12" s="68" t="s">
        <v>381</v>
      </c>
      <c r="I12" s="68" t="s">
        <v>371</v>
      </c>
      <c r="J12" s="68" t="s">
        <v>372</v>
      </c>
      <c r="K12" s="68" t="s">
        <v>373</v>
      </c>
      <c r="M12" s="68" t="s">
        <v>105</v>
      </c>
      <c r="O12" s="69">
        <v>46098.831608796296</v>
      </c>
      <c r="P12" s="69">
        <v>46099.578946759262</v>
      </c>
      <c r="Q12" s="68" t="s">
        <v>382</v>
      </c>
      <c r="R12" s="68" t="s">
        <v>117</v>
      </c>
      <c r="S12" s="68" t="s">
        <v>70</v>
      </c>
      <c r="T12" s="68" t="s">
        <v>118</v>
      </c>
      <c r="U12" s="68" t="s">
        <v>102</v>
      </c>
      <c r="V12" s="68" t="s">
        <v>407</v>
      </c>
      <c r="W12" s="70" t="s">
        <v>408</v>
      </c>
      <c r="X12" s="68" t="s">
        <v>105</v>
      </c>
      <c r="AC12" s="68" t="s">
        <v>409</v>
      </c>
      <c r="AD12" s="68" t="s">
        <v>375</v>
      </c>
    </row>
    <row r="13" spans="1:30" ht="409.5">
      <c r="A13" s="68" t="s">
        <v>257</v>
      </c>
      <c r="B13" s="68" t="s">
        <v>367</v>
      </c>
      <c r="C13" s="68" t="s">
        <v>410</v>
      </c>
      <c r="E13" s="68">
        <v>1</v>
      </c>
      <c r="F13" s="68">
        <v>1</v>
      </c>
      <c r="G13" s="68" t="s">
        <v>380</v>
      </c>
      <c r="H13" s="68" t="s">
        <v>381</v>
      </c>
      <c r="I13" s="68" t="s">
        <v>371</v>
      </c>
      <c r="J13" s="68" t="s">
        <v>372</v>
      </c>
      <c r="K13" s="68" t="s">
        <v>373</v>
      </c>
      <c r="M13" s="68" t="s">
        <v>105</v>
      </c>
      <c r="O13" s="69">
        <v>46098.831608796296</v>
      </c>
      <c r="P13" s="69">
        <v>46099.578935185185</v>
      </c>
      <c r="Q13" s="68" t="s">
        <v>382</v>
      </c>
      <c r="R13" s="68" t="s">
        <v>258</v>
      </c>
      <c r="S13" s="68" t="s">
        <v>70</v>
      </c>
      <c r="T13" s="68" t="s">
        <v>251</v>
      </c>
      <c r="U13" s="68" t="s">
        <v>102</v>
      </c>
      <c r="V13" s="68" t="s">
        <v>259</v>
      </c>
      <c r="W13" s="70" t="s">
        <v>411</v>
      </c>
      <c r="X13" s="68" t="s">
        <v>105</v>
      </c>
      <c r="AC13" s="68" t="s">
        <v>412</v>
      </c>
      <c r="AD13" s="68" t="s">
        <v>375</v>
      </c>
    </row>
    <row r="14" spans="1:30" ht="409.5">
      <c r="A14" s="68" t="s">
        <v>178</v>
      </c>
      <c r="B14" s="68" t="s">
        <v>367</v>
      </c>
      <c r="C14" s="68" t="s">
        <v>413</v>
      </c>
      <c r="E14" s="68">
        <v>1</v>
      </c>
      <c r="F14" s="68">
        <v>1</v>
      </c>
      <c r="G14" s="68" t="s">
        <v>380</v>
      </c>
      <c r="H14" s="68" t="s">
        <v>381</v>
      </c>
      <c r="I14" s="68" t="s">
        <v>371</v>
      </c>
      <c r="J14" s="68" t="s">
        <v>372</v>
      </c>
      <c r="K14" s="68" t="s">
        <v>373</v>
      </c>
      <c r="M14" s="68" t="s">
        <v>105</v>
      </c>
      <c r="O14" s="69">
        <v>46098.831608796296</v>
      </c>
      <c r="P14" s="69">
        <v>46099.578935185185</v>
      </c>
      <c r="Q14" s="68" t="s">
        <v>382</v>
      </c>
      <c r="R14" s="68" t="s">
        <v>179</v>
      </c>
      <c r="S14" s="68" t="s">
        <v>70</v>
      </c>
      <c r="T14" s="68" t="s">
        <v>180</v>
      </c>
      <c r="U14" s="68" t="s">
        <v>102</v>
      </c>
      <c r="V14" s="68" t="s">
        <v>181</v>
      </c>
      <c r="W14" s="70" t="s">
        <v>414</v>
      </c>
      <c r="X14" s="68" t="s">
        <v>105</v>
      </c>
      <c r="AC14" s="68" t="s">
        <v>415</v>
      </c>
      <c r="AD14" s="68" t="s">
        <v>375</v>
      </c>
    </row>
    <row r="15" spans="1:30" ht="409.5">
      <c r="A15" s="68" t="s">
        <v>282</v>
      </c>
      <c r="B15" s="68" t="s">
        <v>367</v>
      </c>
      <c r="C15" s="68" t="s">
        <v>416</v>
      </c>
      <c r="E15" s="68">
        <v>1</v>
      </c>
      <c r="F15" s="68">
        <v>1</v>
      </c>
      <c r="G15" s="68" t="s">
        <v>380</v>
      </c>
      <c r="H15" s="68" t="s">
        <v>381</v>
      </c>
      <c r="I15" s="68" t="s">
        <v>371</v>
      </c>
      <c r="J15" s="68" t="s">
        <v>372</v>
      </c>
      <c r="K15" s="68" t="s">
        <v>373</v>
      </c>
      <c r="M15" s="68" t="s">
        <v>105</v>
      </c>
      <c r="O15" s="69">
        <v>46098.831608796296</v>
      </c>
      <c r="P15" s="69">
        <v>46099.578935185185</v>
      </c>
      <c r="Q15" s="68" t="s">
        <v>382</v>
      </c>
      <c r="R15" s="68" t="s">
        <v>283</v>
      </c>
      <c r="S15" s="68" t="s">
        <v>70</v>
      </c>
      <c r="T15" s="68" t="s">
        <v>284</v>
      </c>
      <c r="U15" s="68" t="s">
        <v>102</v>
      </c>
      <c r="V15" s="68" t="s">
        <v>285</v>
      </c>
      <c r="W15" s="70" t="s">
        <v>417</v>
      </c>
      <c r="X15" s="68" t="s">
        <v>105</v>
      </c>
      <c r="AC15" s="68" t="s">
        <v>418</v>
      </c>
      <c r="AD15" s="68" t="s">
        <v>375</v>
      </c>
    </row>
    <row r="16" spans="1:30" ht="409.5">
      <c r="A16" s="68" t="s">
        <v>274</v>
      </c>
      <c r="B16" s="68" t="s">
        <v>367</v>
      </c>
      <c r="C16" s="68" t="s">
        <v>419</v>
      </c>
      <c r="E16" s="68">
        <v>1</v>
      </c>
      <c r="F16" s="68">
        <v>1</v>
      </c>
      <c r="G16" s="68" t="s">
        <v>380</v>
      </c>
      <c r="H16" s="68" t="s">
        <v>381</v>
      </c>
      <c r="I16" s="68" t="s">
        <v>371</v>
      </c>
      <c r="J16" s="68" t="s">
        <v>372</v>
      </c>
      <c r="K16" s="68" t="s">
        <v>373</v>
      </c>
      <c r="M16" s="68" t="s">
        <v>105</v>
      </c>
      <c r="O16" s="69">
        <v>46098.831608796296</v>
      </c>
      <c r="P16" s="69">
        <v>46099.578946759262</v>
      </c>
      <c r="Q16" s="68" t="s">
        <v>382</v>
      </c>
      <c r="R16" s="68" t="s">
        <v>420</v>
      </c>
      <c r="S16" s="68" t="s">
        <v>70</v>
      </c>
      <c r="T16" s="68" t="s">
        <v>272</v>
      </c>
      <c r="U16" s="68" t="s">
        <v>102</v>
      </c>
      <c r="V16" s="68" t="s">
        <v>275</v>
      </c>
      <c r="W16" s="70" t="s">
        <v>421</v>
      </c>
      <c r="X16" s="68" t="s">
        <v>105</v>
      </c>
      <c r="AC16" s="68" t="s">
        <v>422</v>
      </c>
      <c r="AD16" s="68" t="s">
        <v>375</v>
      </c>
    </row>
    <row r="17" spans="1:30" ht="409.5">
      <c r="A17" s="68" t="s">
        <v>234</v>
      </c>
      <c r="B17" s="68" t="s">
        <v>367</v>
      </c>
      <c r="C17" s="68" t="s">
        <v>423</v>
      </c>
      <c r="E17" s="68">
        <v>1</v>
      </c>
      <c r="F17" s="68">
        <v>1</v>
      </c>
      <c r="G17" s="68" t="s">
        <v>380</v>
      </c>
      <c r="H17" s="68" t="s">
        <v>381</v>
      </c>
      <c r="I17" s="68" t="s">
        <v>371</v>
      </c>
      <c r="J17" s="68" t="s">
        <v>372</v>
      </c>
      <c r="K17" s="68" t="s">
        <v>373</v>
      </c>
      <c r="M17" s="68" t="s">
        <v>105</v>
      </c>
      <c r="O17" s="69">
        <v>46098.831608796296</v>
      </c>
      <c r="P17" s="69">
        <v>46099.578935185185</v>
      </c>
      <c r="Q17" s="68" t="s">
        <v>382</v>
      </c>
      <c r="R17" s="68" t="s">
        <v>235</v>
      </c>
      <c r="S17" s="68" t="s">
        <v>70</v>
      </c>
      <c r="T17" s="68" t="s">
        <v>227</v>
      </c>
      <c r="U17" s="68" t="s">
        <v>102</v>
      </c>
      <c r="V17" s="68" t="s">
        <v>236</v>
      </c>
      <c r="W17" s="70" t="s">
        <v>389</v>
      </c>
      <c r="X17" s="68" t="s">
        <v>105</v>
      </c>
      <c r="AC17" s="68" t="s">
        <v>424</v>
      </c>
      <c r="AD17" s="68" t="s">
        <v>375</v>
      </c>
    </row>
    <row r="18" spans="1:30" ht="409.5">
      <c r="A18" s="68" t="s">
        <v>222</v>
      </c>
      <c r="B18" s="68" t="s">
        <v>367</v>
      </c>
      <c r="C18" s="68" t="s">
        <v>425</v>
      </c>
      <c r="E18" s="68">
        <v>1</v>
      </c>
      <c r="F18" s="68">
        <v>1</v>
      </c>
      <c r="G18" s="68" t="s">
        <v>380</v>
      </c>
      <c r="H18" s="68" t="s">
        <v>381</v>
      </c>
      <c r="I18" s="68" t="s">
        <v>371</v>
      </c>
      <c r="J18" s="68" t="s">
        <v>372</v>
      </c>
      <c r="K18" s="68" t="s">
        <v>373</v>
      </c>
      <c r="M18" s="68" t="s">
        <v>105</v>
      </c>
      <c r="O18" s="69">
        <v>46098.831608796296</v>
      </c>
      <c r="P18" s="69">
        <v>46099.578935185185</v>
      </c>
      <c r="Q18" s="68" t="s">
        <v>382</v>
      </c>
      <c r="R18" s="68" t="s">
        <v>223</v>
      </c>
      <c r="S18" s="68" t="s">
        <v>70</v>
      </c>
      <c r="T18" s="68" t="s">
        <v>216</v>
      </c>
      <c r="U18" s="68" t="s">
        <v>102</v>
      </c>
      <c r="V18" s="68" t="s">
        <v>224</v>
      </c>
      <c r="W18" s="70" t="s">
        <v>404</v>
      </c>
      <c r="X18" s="68" t="s">
        <v>105</v>
      </c>
      <c r="AC18" s="68" t="s">
        <v>426</v>
      </c>
      <c r="AD18" s="68" t="s">
        <v>375</v>
      </c>
    </row>
    <row r="19" spans="1:30" ht="409.5">
      <c r="A19" s="68" t="s">
        <v>246</v>
      </c>
      <c r="B19" s="68" t="s">
        <v>367</v>
      </c>
      <c r="C19" s="68" t="s">
        <v>427</v>
      </c>
      <c r="E19" s="68">
        <v>1</v>
      </c>
      <c r="F19" s="68">
        <v>1</v>
      </c>
      <c r="G19" s="68" t="s">
        <v>380</v>
      </c>
      <c r="H19" s="68" t="s">
        <v>381</v>
      </c>
      <c r="I19" s="68" t="s">
        <v>371</v>
      </c>
      <c r="J19" s="68" t="s">
        <v>372</v>
      </c>
      <c r="K19" s="68" t="s">
        <v>373</v>
      </c>
      <c r="M19" s="68" t="s">
        <v>105</v>
      </c>
      <c r="O19" s="69">
        <v>46098.831608796296</v>
      </c>
      <c r="P19" s="69">
        <v>46099.578935185185</v>
      </c>
      <c r="Q19" s="68" t="s">
        <v>382</v>
      </c>
      <c r="R19" s="68" t="s">
        <v>247</v>
      </c>
      <c r="S19" s="68" t="s">
        <v>70</v>
      </c>
      <c r="T19" s="68" t="s">
        <v>239</v>
      </c>
      <c r="U19" s="68" t="s">
        <v>102</v>
      </c>
      <c r="V19" s="68" t="s">
        <v>248</v>
      </c>
      <c r="W19" s="70" t="s">
        <v>428</v>
      </c>
      <c r="X19" s="68" t="s">
        <v>105</v>
      </c>
      <c r="AC19" s="68" t="s">
        <v>429</v>
      </c>
      <c r="AD19" s="68" t="s">
        <v>375</v>
      </c>
    </row>
    <row r="20" spans="1:30" ht="409.5">
      <c r="A20" s="68" t="s">
        <v>195</v>
      </c>
      <c r="B20" s="68" t="s">
        <v>367</v>
      </c>
      <c r="C20" s="68" t="s">
        <v>430</v>
      </c>
      <c r="E20" s="68">
        <v>1</v>
      </c>
      <c r="F20" s="68">
        <v>1</v>
      </c>
      <c r="G20" s="68" t="s">
        <v>380</v>
      </c>
      <c r="H20" s="68" t="s">
        <v>381</v>
      </c>
      <c r="I20" s="68" t="s">
        <v>371</v>
      </c>
      <c r="J20" s="68" t="s">
        <v>372</v>
      </c>
      <c r="K20" s="68" t="s">
        <v>373</v>
      </c>
      <c r="M20" s="68" t="s">
        <v>105</v>
      </c>
      <c r="O20" s="69">
        <v>46098.831608796296</v>
      </c>
      <c r="P20" s="69">
        <v>46099.578935185185</v>
      </c>
      <c r="Q20" s="68" t="s">
        <v>382</v>
      </c>
      <c r="R20" s="68" t="s">
        <v>431</v>
      </c>
      <c r="S20" s="68" t="s">
        <v>70</v>
      </c>
      <c r="T20" s="68" t="s">
        <v>193</v>
      </c>
      <c r="U20" s="68" t="s">
        <v>102</v>
      </c>
      <c r="V20" s="68" t="s">
        <v>196</v>
      </c>
      <c r="W20" s="70" t="s">
        <v>432</v>
      </c>
      <c r="X20" s="68" t="s">
        <v>105</v>
      </c>
      <c r="AC20" s="68" t="s">
        <v>433</v>
      </c>
      <c r="AD20" s="68" t="s">
        <v>375</v>
      </c>
    </row>
    <row r="21" spans="1:30" ht="409.5">
      <c r="A21" s="68" t="s">
        <v>241</v>
      </c>
      <c r="B21" s="68" t="s">
        <v>367</v>
      </c>
      <c r="C21" s="68" t="s">
        <v>434</v>
      </c>
      <c r="E21" s="68">
        <v>1</v>
      </c>
      <c r="F21" s="68">
        <v>1</v>
      </c>
      <c r="G21" s="68" t="s">
        <v>380</v>
      </c>
      <c r="H21" s="68" t="s">
        <v>381</v>
      </c>
      <c r="I21" s="68" t="s">
        <v>371</v>
      </c>
      <c r="J21" s="68" t="s">
        <v>372</v>
      </c>
      <c r="K21" s="68" t="s">
        <v>373</v>
      </c>
      <c r="M21" s="68" t="s">
        <v>105</v>
      </c>
      <c r="O21" s="69">
        <v>46098.831608796296</v>
      </c>
      <c r="P21" s="69">
        <v>46099.578935185185</v>
      </c>
      <c r="Q21" s="68" t="s">
        <v>382</v>
      </c>
      <c r="R21" s="68" t="s">
        <v>435</v>
      </c>
      <c r="S21" s="68" t="s">
        <v>70</v>
      </c>
      <c r="T21" s="68" t="s">
        <v>239</v>
      </c>
      <c r="U21" s="68" t="s">
        <v>102</v>
      </c>
      <c r="V21" s="68" t="s">
        <v>242</v>
      </c>
      <c r="W21" s="70" t="s">
        <v>428</v>
      </c>
      <c r="X21" s="68" t="s">
        <v>105</v>
      </c>
      <c r="AC21" s="68" t="s">
        <v>436</v>
      </c>
      <c r="AD21" s="68" t="s">
        <v>375</v>
      </c>
    </row>
    <row r="22" spans="1:30" ht="409.5">
      <c r="A22" s="68" t="s">
        <v>123</v>
      </c>
      <c r="B22" s="68" t="s">
        <v>367</v>
      </c>
      <c r="C22" s="68" t="s">
        <v>437</v>
      </c>
      <c r="E22" s="68">
        <v>1</v>
      </c>
      <c r="F22" s="68">
        <v>1</v>
      </c>
      <c r="G22" s="68" t="s">
        <v>380</v>
      </c>
      <c r="H22" s="68" t="s">
        <v>381</v>
      </c>
      <c r="I22" s="68" t="s">
        <v>371</v>
      </c>
      <c r="J22" s="68" t="s">
        <v>372</v>
      </c>
      <c r="K22" s="68" t="s">
        <v>373</v>
      </c>
      <c r="M22" s="68" t="s">
        <v>105</v>
      </c>
      <c r="O22" s="69">
        <v>46098.831608796296</v>
      </c>
      <c r="P22" s="69">
        <v>46099.578935185185</v>
      </c>
      <c r="Q22" s="68" t="s">
        <v>382</v>
      </c>
      <c r="R22" s="68" t="s">
        <v>124</v>
      </c>
      <c r="S22" s="68" t="s">
        <v>70</v>
      </c>
      <c r="T22" s="68" t="s">
        <v>118</v>
      </c>
      <c r="U22" s="68" t="s">
        <v>102</v>
      </c>
      <c r="V22" s="68" t="s">
        <v>125</v>
      </c>
      <c r="W22" s="70" t="s">
        <v>408</v>
      </c>
      <c r="X22" s="68" t="s">
        <v>105</v>
      </c>
      <c r="AC22" s="68" t="s">
        <v>438</v>
      </c>
      <c r="AD22" s="68" t="s">
        <v>375</v>
      </c>
    </row>
    <row r="23" spans="1:30" ht="409.5">
      <c r="A23" s="68" t="s">
        <v>220</v>
      </c>
      <c r="B23" s="68" t="s">
        <v>367</v>
      </c>
      <c r="C23" s="68" t="s">
        <v>439</v>
      </c>
      <c r="E23" s="68">
        <v>1</v>
      </c>
      <c r="F23" s="68">
        <v>1</v>
      </c>
      <c r="G23" s="68" t="s">
        <v>380</v>
      </c>
      <c r="H23" s="68" t="s">
        <v>381</v>
      </c>
      <c r="I23" s="68" t="s">
        <v>371</v>
      </c>
      <c r="J23" s="68" t="s">
        <v>372</v>
      </c>
      <c r="K23" s="68" t="s">
        <v>373</v>
      </c>
      <c r="M23" s="68" t="s">
        <v>105</v>
      </c>
      <c r="O23" s="69">
        <v>46098.831608796296</v>
      </c>
      <c r="P23" s="69">
        <v>46099.578935185185</v>
      </c>
      <c r="Q23" s="68" t="s">
        <v>382</v>
      </c>
      <c r="R23" s="68" t="s">
        <v>440</v>
      </c>
      <c r="S23" s="68" t="s">
        <v>70</v>
      </c>
      <c r="T23" s="68" t="s">
        <v>216</v>
      </c>
      <c r="U23" s="68" t="s">
        <v>102</v>
      </c>
      <c r="V23" s="68" t="s">
        <v>221</v>
      </c>
      <c r="W23" s="70" t="s">
        <v>404</v>
      </c>
      <c r="X23" s="68" t="s">
        <v>105</v>
      </c>
      <c r="AC23" s="68" t="s">
        <v>441</v>
      </c>
      <c r="AD23" s="68" t="s">
        <v>375</v>
      </c>
    </row>
    <row r="24" spans="1:30" ht="409.5">
      <c r="A24" s="68" t="s">
        <v>110</v>
      </c>
      <c r="B24" s="68" t="s">
        <v>367</v>
      </c>
      <c r="C24" s="68" t="s">
        <v>442</v>
      </c>
      <c r="E24" s="68">
        <v>1</v>
      </c>
      <c r="F24" s="68">
        <v>1</v>
      </c>
      <c r="G24" s="68" t="s">
        <v>380</v>
      </c>
      <c r="H24" s="68" t="s">
        <v>381</v>
      </c>
      <c r="I24" s="68" t="s">
        <v>371</v>
      </c>
      <c r="J24" s="68" t="s">
        <v>372</v>
      </c>
      <c r="K24" s="68" t="s">
        <v>373</v>
      </c>
      <c r="M24" s="68" t="s">
        <v>105</v>
      </c>
      <c r="O24" s="69">
        <v>46098.831608796296</v>
      </c>
      <c r="P24" s="69">
        <v>46099.578935185185</v>
      </c>
      <c r="Q24" s="68" t="s">
        <v>382</v>
      </c>
      <c r="R24" s="68" t="s">
        <v>111</v>
      </c>
      <c r="S24" s="68" t="s">
        <v>70</v>
      </c>
      <c r="T24" s="68" t="s">
        <v>443</v>
      </c>
      <c r="U24" s="68" t="s">
        <v>102</v>
      </c>
      <c r="V24" s="68" t="s">
        <v>112</v>
      </c>
      <c r="W24" s="70" t="s">
        <v>444</v>
      </c>
      <c r="X24" s="68" t="s">
        <v>105</v>
      </c>
      <c r="AC24" s="68" t="s">
        <v>445</v>
      </c>
      <c r="AD24" s="68" t="s">
        <v>375</v>
      </c>
    </row>
    <row r="25" spans="1:30" ht="409.5">
      <c r="A25" s="68" t="s">
        <v>182</v>
      </c>
      <c r="B25" s="68" t="s">
        <v>367</v>
      </c>
      <c r="C25" s="68" t="s">
        <v>446</v>
      </c>
      <c r="E25" s="68">
        <v>1</v>
      </c>
      <c r="F25" s="68">
        <v>1</v>
      </c>
      <c r="G25" s="68" t="s">
        <v>380</v>
      </c>
      <c r="H25" s="68" t="s">
        <v>381</v>
      </c>
      <c r="I25" s="68" t="s">
        <v>371</v>
      </c>
      <c r="J25" s="68" t="s">
        <v>372</v>
      </c>
      <c r="K25" s="68" t="s">
        <v>373</v>
      </c>
      <c r="M25" s="68" t="s">
        <v>105</v>
      </c>
      <c r="O25" s="69">
        <v>46098.831608796296</v>
      </c>
      <c r="P25" s="69">
        <v>46099.578935185185</v>
      </c>
      <c r="Q25" s="68" t="s">
        <v>382</v>
      </c>
      <c r="R25" s="68" t="s">
        <v>183</v>
      </c>
      <c r="S25" s="68" t="s">
        <v>70</v>
      </c>
      <c r="T25" s="68" t="s">
        <v>180</v>
      </c>
      <c r="U25" s="68" t="s">
        <v>102</v>
      </c>
      <c r="V25" s="68" t="s">
        <v>184</v>
      </c>
      <c r="W25" s="70" t="s">
        <v>414</v>
      </c>
      <c r="X25" s="68" t="s">
        <v>105</v>
      </c>
      <c r="AC25" s="68" t="s">
        <v>447</v>
      </c>
      <c r="AD25" s="68" t="s">
        <v>375</v>
      </c>
    </row>
    <row r="26" spans="1:30" ht="409.5">
      <c r="A26" s="68" t="s">
        <v>214</v>
      </c>
      <c r="B26" s="68" t="s">
        <v>367</v>
      </c>
      <c r="C26" s="68" t="s">
        <v>448</v>
      </c>
      <c r="E26" s="68">
        <v>1</v>
      </c>
      <c r="F26" s="68">
        <v>1</v>
      </c>
      <c r="G26" s="68" t="s">
        <v>380</v>
      </c>
      <c r="H26" s="68" t="s">
        <v>381</v>
      </c>
      <c r="I26" s="68" t="s">
        <v>371</v>
      </c>
      <c r="J26" s="68" t="s">
        <v>372</v>
      </c>
      <c r="K26" s="68" t="s">
        <v>373</v>
      </c>
      <c r="M26" s="68" t="s">
        <v>105</v>
      </c>
      <c r="O26" s="69">
        <v>46098.831608796296</v>
      </c>
      <c r="P26" s="69">
        <v>46099.578935185185</v>
      </c>
      <c r="Q26" s="68" t="s">
        <v>382</v>
      </c>
      <c r="R26" s="68" t="s">
        <v>215</v>
      </c>
      <c r="S26" s="68" t="s">
        <v>70</v>
      </c>
      <c r="T26" s="68" t="s">
        <v>216</v>
      </c>
      <c r="U26" s="68" t="s">
        <v>102</v>
      </c>
      <c r="V26" s="68" t="s">
        <v>217</v>
      </c>
      <c r="W26" s="70" t="s">
        <v>404</v>
      </c>
      <c r="X26" s="68" t="s">
        <v>105</v>
      </c>
      <c r="AC26" s="68" t="s">
        <v>449</v>
      </c>
      <c r="AD26" s="68" t="s">
        <v>375</v>
      </c>
    </row>
    <row r="27" spans="1:30" ht="409.5">
      <c r="A27" s="68" t="s">
        <v>208</v>
      </c>
      <c r="B27" s="68" t="s">
        <v>367</v>
      </c>
      <c r="C27" s="68" t="s">
        <v>450</v>
      </c>
      <c r="E27" s="68">
        <v>1</v>
      </c>
      <c r="F27" s="68">
        <v>1</v>
      </c>
      <c r="G27" s="68" t="s">
        <v>380</v>
      </c>
      <c r="H27" s="68" t="s">
        <v>381</v>
      </c>
      <c r="I27" s="68" t="s">
        <v>371</v>
      </c>
      <c r="J27" s="68" t="s">
        <v>372</v>
      </c>
      <c r="K27" s="68" t="s">
        <v>373</v>
      </c>
      <c r="M27" s="68" t="s">
        <v>105</v>
      </c>
      <c r="O27" s="69">
        <v>46098.831608796296</v>
      </c>
      <c r="P27" s="69">
        <v>46099.578935185185</v>
      </c>
      <c r="Q27" s="68" t="s">
        <v>382</v>
      </c>
      <c r="R27" s="68" t="s">
        <v>209</v>
      </c>
      <c r="S27" s="68" t="s">
        <v>70</v>
      </c>
      <c r="T27" s="68" t="s">
        <v>205</v>
      </c>
      <c r="U27" s="68" t="s">
        <v>102</v>
      </c>
      <c r="V27" s="68" t="s">
        <v>210</v>
      </c>
      <c r="W27" s="70" t="s">
        <v>386</v>
      </c>
      <c r="X27" s="68" t="s">
        <v>105</v>
      </c>
      <c r="AC27" s="68" t="s">
        <v>451</v>
      </c>
      <c r="AD27" s="68" t="s">
        <v>375</v>
      </c>
    </row>
    <row r="28" spans="1:30" ht="409.5">
      <c r="A28" s="68" t="s">
        <v>141</v>
      </c>
      <c r="B28" s="68" t="s">
        <v>367</v>
      </c>
      <c r="C28" s="68" t="s">
        <v>452</v>
      </c>
      <c r="E28" s="68">
        <v>1</v>
      </c>
      <c r="F28" s="68">
        <v>1</v>
      </c>
      <c r="G28" s="68" t="s">
        <v>380</v>
      </c>
      <c r="H28" s="68" t="s">
        <v>381</v>
      </c>
      <c r="I28" s="68" t="s">
        <v>371</v>
      </c>
      <c r="J28" s="68" t="s">
        <v>372</v>
      </c>
      <c r="K28" s="68" t="s">
        <v>373</v>
      </c>
      <c r="M28" s="68" t="s">
        <v>105</v>
      </c>
      <c r="O28" s="69">
        <v>46098.831608796296</v>
      </c>
      <c r="P28" s="69">
        <v>46099.578935185185</v>
      </c>
      <c r="Q28" s="68" t="s">
        <v>382</v>
      </c>
      <c r="R28" s="68" t="s">
        <v>453</v>
      </c>
      <c r="S28" s="68" t="s">
        <v>70</v>
      </c>
      <c r="T28" s="68" t="s">
        <v>142</v>
      </c>
      <c r="U28" s="68" t="s">
        <v>102</v>
      </c>
      <c r="V28" s="68" t="s">
        <v>143</v>
      </c>
      <c r="W28" s="70" t="s">
        <v>383</v>
      </c>
      <c r="X28" s="68" t="s">
        <v>105</v>
      </c>
      <c r="AC28" s="68" t="s">
        <v>454</v>
      </c>
      <c r="AD28" s="68" t="s">
        <v>375</v>
      </c>
    </row>
    <row r="29" spans="1:30" ht="409.5">
      <c r="A29" s="68" t="s">
        <v>286</v>
      </c>
      <c r="B29" s="68" t="s">
        <v>367</v>
      </c>
      <c r="C29" s="68" t="s">
        <v>455</v>
      </c>
      <c r="E29" s="68">
        <v>1</v>
      </c>
      <c r="F29" s="68">
        <v>1</v>
      </c>
      <c r="G29" s="68" t="s">
        <v>380</v>
      </c>
      <c r="H29" s="68" t="s">
        <v>381</v>
      </c>
      <c r="I29" s="68" t="s">
        <v>371</v>
      </c>
      <c r="J29" s="68" t="s">
        <v>372</v>
      </c>
      <c r="K29" s="68" t="s">
        <v>373</v>
      </c>
      <c r="M29" s="68" t="s">
        <v>105</v>
      </c>
      <c r="O29" s="69">
        <v>46098.831608796296</v>
      </c>
      <c r="P29" s="69">
        <v>46099.578935185185</v>
      </c>
      <c r="Q29" s="68" t="s">
        <v>382</v>
      </c>
      <c r="R29" s="68" t="s">
        <v>456</v>
      </c>
      <c r="S29" s="68" t="s">
        <v>70</v>
      </c>
      <c r="T29" s="68" t="s">
        <v>284</v>
      </c>
      <c r="U29" s="68" t="s">
        <v>102</v>
      </c>
      <c r="V29" s="68" t="s">
        <v>287</v>
      </c>
      <c r="W29" s="70" t="s">
        <v>417</v>
      </c>
      <c r="X29" s="68" t="s">
        <v>105</v>
      </c>
      <c r="AC29" s="68" t="s">
        <v>457</v>
      </c>
      <c r="AD29" s="68" t="s">
        <v>375</v>
      </c>
    </row>
    <row r="30" spans="1:30" ht="409.5">
      <c r="A30" s="68" t="s">
        <v>249</v>
      </c>
      <c r="B30" s="68" t="s">
        <v>367</v>
      </c>
      <c r="C30" s="68" t="s">
        <v>458</v>
      </c>
      <c r="E30" s="68">
        <v>1</v>
      </c>
      <c r="F30" s="68">
        <v>1</v>
      </c>
      <c r="G30" s="68" t="s">
        <v>380</v>
      </c>
      <c r="H30" s="68" t="s">
        <v>381</v>
      </c>
      <c r="I30" s="68" t="s">
        <v>371</v>
      </c>
      <c r="J30" s="68" t="s">
        <v>372</v>
      </c>
      <c r="K30" s="68" t="s">
        <v>373</v>
      </c>
      <c r="M30" s="68" t="s">
        <v>105</v>
      </c>
      <c r="O30" s="69">
        <v>46098.831608796296</v>
      </c>
      <c r="P30" s="69">
        <v>46099.578935185185</v>
      </c>
      <c r="Q30" s="68" t="s">
        <v>382</v>
      </c>
      <c r="R30" s="68" t="s">
        <v>250</v>
      </c>
      <c r="S30" s="68" t="s">
        <v>70</v>
      </c>
      <c r="T30" s="68" t="s">
        <v>251</v>
      </c>
      <c r="U30" s="68" t="s">
        <v>102</v>
      </c>
      <c r="V30" s="68" t="s">
        <v>252</v>
      </c>
      <c r="W30" s="70" t="s">
        <v>411</v>
      </c>
      <c r="X30" s="68" t="s">
        <v>105</v>
      </c>
      <c r="AC30" s="68" t="s">
        <v>459</v>
      </c>
      <c r="AD30" s="68" t="s">
        <v>375</v>
      </c>
    </row>
    <row r="31" spans="1:30" ht="409.5">
      <c r="A31" s="68" t="s">
        <v>229</v>
      </c>
      <c r="B31" s="68" t="s">
        <v>367</v>
      </c>
      <c r="C31" s="68" t="s">
        <v>460</v>
      </c>
      <c r="E31" s="68">
        <v>1</v>
      </c>
      <c r="F31" s="68">
        <v>1</v>
      </c>
      <c r="G31" s="68" t="s">
        <v>380</v>
      </c>
      <c r="H31" s="68" t="s">
        <v>381</v>
      </c>
      <c r="I31" s="68" t="s">
        <v>371</v>
      </c>
      <c r="J31" s="68" t="s">
        <v>372</v>
      </c>
      <c r="K31" s="68" t="s">
        <v>373</v>
      </c>
      <c r="M31" s="68" t="s">
        <v>105</v>
      </c>
      <c r="O31" s="69">
        <v>46098.831608796296</v>
      </c>
      <c r="P31" s="69">
        <v>46099.578935185185</v>
      </c>
      <c r="Q31" s="68" t="s">
        <v>382</v>
      </c>
      <c r="R31" s="68" t="s">
        <v>461</v>
      </c>
      <c r="S31" s="68" t="s">
        <v>70</v>
      </c>
      <c r="T31" s="68" t="s">
        <v>227</v>
      </c>
      <c r="U31" s="68" t="s">
        <v>102</v>
      </c>
      <c r="V31" s="68" t="s">
        <v>230</v>
      </c>
      <c r="W31" s="70" t="s">
        <v>389</v>
      </c>
      <c r="X31" s="68" t="s">
        <v>105</v>
      </c>
      <c r="AC31" s="68" t="s">
        <v>462</v>
      </c>
      <c r="AD31" s="68" t="s">
        <v>375</v>
      </c>
    </row>
    <row r="32" spans="1:30" ht="409.5">
      <c r="A32" s="68" t="s">
        <v>207</v>
      </c>
      <c r="B32" s="68" t="s">
        <v>367</v>
      </c>
      <c r="C32" s="68" t="s">
        <v>463</v>
      </c>
      <c r="E32" s="68">
        <v>1</v>
      </c>
      <c r="F32" s="68">
        <v>1</v>
      </c>
      <c r="G32" s="68" t="s">
        <v>380</v>
      </c>
      <c r="H32" s="68" t="s">
        <v>381</v>
      </c>
      <c r="I32" s="68" t="s">
        <v>371</v>
      </c>
      <c r="J32" s="68" t="s">
        <v>372</v>
      </c>
      <c r="K32" s="68" t="s">
        <v>373</v>
      </c>
      <c r="M32" s="68" t="s">
        <v>105</v>
      </c>
      <c r="O32" s="69">
        <v>46098.831608796296</v>
      </c>
      <c r="P32" s="69">
        <v>46099.578946759262</v>
      </c>
      <c r="Q32" s="68" t="s">
        <v>382</v>
      </c>
      <c r="R32" s="68" t="s">
        <v>464</v>
      </c>
      <c r="S32" s="68" t="s">
        <v>70</v>
      </c>
      <c r="T32" s="68" t="s">
        <v>205</v>
      </c>
      <c r="U32" s="68" t="s">
        <v>102</v>
      </c>
      <c r="V32" s="70" t="s">
        <v>465</v>
      </c>
      <c r="W32" s="70" t="s">
        <v>386</v>
      </c>
      <c r="X32" s="68" t="s">
        <v>105</v>
      </c>
      <c r="AC32" s="68" t="s">
        <v>466</v>
      </c>
      <c r="AD32" s="68" t="s">
        <v>375</v>
      </c>
    </row>
    <row r="33" spans="1:30" ht="409.5">
      <c r="A33" s="68" t="s">
        <v>159</v>
      </c>
      <c r="B33" s="68" t="s">
        <v>367</v>
      </c>
      <c r="C33" s="68" t="s">
        <v>467</v>
      </c>
      <c r="E33" s="68">
        <v>1</v>
      </c>
      <c r="F33" s="68">
        <v>1</v>
      </c>
      <c r="G33" s="68" t="s">
        <v>380</v>
      </c>
      <c r="H33" s="68" t="s">
        <v>381</v>
      </c>
      <c r="I33" s="68" t="s">
        <v>371</v>
      </c>
      <c r="J33" s="68" t="s">
        <v>372</v>
      </c>
      <c r="K33" s="68" t="s">
        <v>373</v>
      </c>
      <c r="M33" s="68" t="s">
        <v>105</v>
      </c>
      <c r="O33" s="69">
        <v>46098.831608796296</v>
      </c>
      <c r="P33" s="69">
        <v>46099.578935185185</v>
      </c>
      <c r="Q33" s="68" t="s">
        <v>382</v>
      </c>
      <c r="R33" s="68" t="s">
        <v>160</v>
      </c>
      <c r="S33" s="68" t="s">
        <v>70</v>
      </c>
      <c r="T33" s="68" t="s">
        <v>155</v>
      </c>
      <c r="U33" s="68" t="s">
        <v>102</v>
      </c>
      <c r="V33" s="68" t="s">
        <v>161</v>
      </c>
      <c r="W33" s="70" t="s">
        <v>468</v>
      </c>
      <c r="X33" s="68" t="s">
        <v>105</v>
      </c>
      <c r="AC33" s="68" t="s">
        <v>469</v>
      </c>
      <c r="AD33" s="68" t="s">
        <v>375</v>
      </c>
    </row>
    <row r="34" spans="1:30" ht="409.5">
      <c r="A34" s="68" t="s">
        <v>211</v>
      </c>
      <c r="B34" s="68" t="s">
        <v>367</v>
      </c>
      <c r="C34" s="68" t="s">
        <v>470</v>
      </c>
      <c r="E34" s="68">
        <v>1</v>
      </c>
      <c r="F34" s="68">
        <v>1</v>
      </c>
      <c r="G34" s="68" t="s">
        <v>380</v>
      </c>
      <c r="H34" s="68" t="s">
        <v>381</v>
      </c>
      <c r="I34" s="68" t="s">
        <v>371</v>
      </c>
      <c r="J34" s="68" t="s">
        <v>372</v>
      </c>
      <c r="K34" s="68" t="s">
        <v>373</v>
      </c>
      <c r="M34" s="68" t="s">
        <v>105</v>
      </c>
      <c r="O34" s="69">
        <v>46098.831608796296</v>
      </c>
      <c r="P34" s="69">
        <v>46099.578935185185</v>
      </c>
      <c r="Q34" s="68" t="s">
        <v>382</v>
      </c>
      <c r="R34" s="68" t="s">
        <v>212</v>
      </c>
      <c r="S34" s="68" t="s">
        <v>70</v>
      </c>
      <c r="T34" s="68" t="s">
        <v>205</v>
      </c>
      <c r="U34" s="68" t="s">
        <v>102</v>
      </c>
      <c r="V34" s="68" t="s">
        <v>213</v>
      </c>
      <c r="W34" s="70" t="s">
        <v>386</v>
      </c>
      <c r="X34" s="68" t="s">
        <v>105</v>
      </c>
      <c r="AC34" s="68" t="s">
        <v>471</v>
      </c>
      <c r="AD34" s="68" t="s">
        <v>375</v>
      </c>
    </row>
    <row r="35" spans="1:30" ht="409.5">
      <c r="A35" s="68" t="s">
        <v>120</v>
      </c>
      <c r="B35" s="68" t="s">
        <v>367</v>
      </c>
      <c r="C35" s="68" t="s">
        <v>472</v>
      </c>
      <c r="E35" s="68">
        <v>1</v>
      </c>
      <c r="F35" s="68">
        <v>1</v>
      </c>
      <c r="G35" s="68" t="s">
        <v>380</v>
      </c>
      <c r="H35" s="68" t="s">
        <v>381</v>
      </c>
      <c r="I35" s="68" t="s">
        <v>371</v>
      </c>
      <c r="J35" s="68" t="s">
        <v>372</v>
      </c>
      <c r="K35" s="68" t="s">
        <v>373</v>
      </c>
      <c r="M35" s="68" t="s">
        <v>105</v>
      </c>
      <c r="O35" s="69">
        <v>46098.831608796296</v>
      </c>
      <c r="P35" s="69">
        <v>46099.578935185185</v>
      </c>
      <c r="Q35" s="68" t="s">
        <v>382</v>
      </c>
      <c r="R35" s="68" t="s">
        <v>473</v>
      </c>
      <c r="S35" s="68" t="s">
        <v>70</v>
      </c>
      <c r="T35" s="68" t="s">
        <v>118</v>
      </c>
      <c r="U35" s="68" t="s">
        <v>102</v>
      </c>
      <c r="V35" s="68" t="s">
        <v>121</v>
      </c>
      <c r="W35" s="70" t="s">
        <v>408</v>
      </c>
      <c r="X35" s="68" t="s">
        <v>105</v>
      </c>
      <c r="AC35" s="68" t="s">
        <v>474</v>
      </c>
      <c r="AD35" s="68" t="s">
        <v>375</v>
      </c>
    </row>
    <row r="36" spans="1:30" ht="409.5">
      <c r="A36" s="68" t="s">
        <v>188</v>
      </c>
      <c r="B36" s="68" t="s">
        <v>367</v>
      </c>
      <c r="C36" s="68" t="s">
        <v>475</v>
      </c>
      <c r="E36" s="68">
        <v>1</v>
      </c>
      <c r="F36" s="68">
        <v>1</v>
      </c>
      <c r="G36" s="68" t="s">
        <v>380</v>
      </c>
      <c r="H36" s="68" t="s">
        <v>381</v>
      </c>
      <c r="I36" s="68" t="s">
        <v>371</v>
      </c>
      <c r="J36" s="68" t="s">
        <v>372</v>
      </c>
      <c r="K36" s="68" t="s">
        <v>373</v>
      </c>
      <c r="M36" s="68" t="s">
        <v>105</v>
      </c>
      <c r="O36" s="69">
        <v>46098.831608796296</v>
      </c>
      <c r="P36" s="69">
        <v>46099.578935185185</v>
      </c>
      <c r="Q36" s="68" t="s">
        <v>382</v>
      </c>
      <c r="R36" s="68" t="s">
        <v>189</v>
      </c>
      <c r="S36" s="68" t="s">
        <v>70</v>
      </c>
      <c r="T36" s="68" t="s">
        <v>180</v>
      </c>
      <c r="U36" s="68" t="s">
        <v>102</v>
      </c>
      <c r="V36" s="68" t="s">
        <v>190</v>
      </c>
      <c r="W36" s="70" t="s">
        <v>414</v>
      </c>
      <c r="X36" s="68" t="s">
        <v>105</v>
      </c>
      <c r="AC36" s="68" t="s">
        <v>476</v>
      </c>
      <c r="AD36" s="68" t="s">
        <v>375</v>
      </c>
    </row>
    <row r="37" spans="1:30" ht="409.5">
      <c r="A37" s="68" t="s">
        <v>276</v>
      </c>
      <c r="B37" s="68" t="s">
        <v>367</v>
      </c>
      <c r="C37" s="68" t="s">
        <v>477</v>
      </c>
      <c r="E37" s="68">
        <v>1</v>
      </c>
      <c r="F37" s="68">
        <v>1</v>
      </c>
      <c r="G37" s="68" t="s">
        <v>380</v>
      </c>
      <c r="H37" s="68" t="s">
        <v>381</v>
      </c>
      <c r="I37" s="68" t="s">
        <v>371</v>
      </c>
      <c r="J37" s="68" t="s">
        <v>372</v>
      </c>
      <c r="K37" s="68" t="s">
        <v>373</v>
      </c>
      <c r="M37" s="68" t="s">
        <v>105</v>
      </c>
      <c r="O37" s="69">
        <v>46098.831608796296</v>
      </c>
      <c r="P37" s="69">
        <v>46099.578935185185</v>
      </c>
      <c r="Q37" s="68" t="s">
        <v>382</v>
      </c>
      <c r="R37" s="68" t="s">
        <v>277</v>
      </c>
      <c r="S37" s="68" t="s">
        <v>70</v>
      </c>
      <c r="T37" s="68" t="s">
        <v>272</v>
      </c>
      <c r="U37" s="68" t="s">
        <v>102</v>
      </c>
      <c r="V37" s="68" t="s">
        <v>278</v>
      </c>
      <c r="W37" s="70" t="s">
        <v>421</v>
      </c>
      <c r="X37" s="68" t="s">
        <v>105</v>
      </c>
      <c r="AC37" s="68" t="s">
        <v>478</v>
      </c>
      <c r="AD37" s="68" t="s">
        <v>375</v>
      </c>
    </row>
    <row r="38" spans="1:30" ht="409.5">
      <c r="A38" s="68" t="s">
        <v>279</v>
      </c>
      <c r="B38" s="68" t="s">
        <v>367</v>
      </c>
      <c r="C38" s="68" t="s">
        <v>479</v>
      </c>
      <c r="E38" s="68">
        <v>1</v>
      </c>
      <c r="F38" s="68">
        <v>1</v>
      </c>
      <c r="G38" s="68" t="s">
        <v>380</v>
      </c>
      <c r="H38" s="68" t="s">
        <v>381</v>
      </c>
      <c r="I38" s="68" t="s">
        <v>371</v>
      </c>
      <c r="J38" s="68" t="s">
        <v>372</v>
      </c>
      <c r="K38" s="68" t="s">
        <v>373</v>
      </c>
      <c r="M38" s="68" t="s">
        <v>105</v>
      </c>
      <c r="O38" s="69">
        <v>46098.831608796296</v>
      </c>
      <c r="P38" s="69">
        <v>46099.578935185185</v>
      </c>
      <c r="Q38" s="68" t="s">
        <v>382</v>
      </c>
      <c r="R38" s="68" t="s">
        <v>280</v>
      </c>
      <c r="S38" s="68" t="s">
        <v>70</v>
      </c>
      <c r="T38" s="68" t="s">
        <v>272</v>
      </c>
      <c r="U38" s="68" t="s">
        <v>102</v>
      </c>
      <c r="V38" s="68" t="s">
        <v>281</v>
      </c>
      <c r="W38" s="70" t="s">
        <v>421</v>
      </c>
      <c r="X38" s="68" t="s">
        <v>105</v>
      </c>
      <c r="AC38" s="68" t="s">
        <v>480</v>
      </c>
      <c r="AD38" s="68" t="s">
        <v>375</v>
      </c>
    </row>
    <row r="39" spans="1:30" ht="409.5">
      <c r="A39" s="68" t="s">
        <v>147</v>
      </c>
      <c r="B39" s="68" t="s">
        <v>367</v>
      </c>
      <c r="C39" s="68" t="s">
        <v>481</v>
      </c>
      <c r="E39" s="68">
        <v>1</v>
      </c>
      <c r="F39" s="68">
        <v>1</v>
      </c>
      <c r="G39" s="68" t="s">
        <v>380</v>
      </c>
      <c r="H39" s="68" t="s">
        <v>381</v>
      </c>
      <c r="I39" s="68" t="s">
        <v>371</v>
      </c>
      <c r="J39" s="68" t="s">
        <v>372</v>
      </c>
      <c r="K39" s="68" t="s">
        <v>373</v>
      </c>
      <c r="M39" s="68" t="s">
        <v>105</v>
      </c>
      <c r="O39" s="69">
        <v>46098.831608796296</v>
      </c>
      <c r="P39" s="69">
        <v>46099.578935185185</v>
      </c>
      <c r="Q39" s="68" t="s">
        <v>382</v>
      </c>
      <c r="R39" s="68" t="s">
        <v>148</v>
      </c>
      <c r="S39" s="68" t="s">
        <v>70</v>
      </c>
      <c r="T39" s="68" t="s">
        <v>142</v>
      </c>
      <c r="U39" s="68" t="s">
        <v>102</v>
      </c>
      <c r="V39" s="68" t="s">
        <v>149</v>
      </c>
      <c r="W39" s="70" t="s">
        <v>383</v>
      </c>
      <c r="X39" s="68" t="s">
        <v>105</v>
      </c>
      <c r="AC39" s="68" t="s">
        <v>482</v>
      </c>
      <c r="AD39" s="68" t="s">
        <v>375</v>
      </c>
    </row>
    <row r="40" spans="1:30" ht="409.5">
      <c r="A40" s="68" t="s">
        <v>165</v>
      </c>
      <c r="B40" s="68" t="s">
        <v>367</v>
      </c>
      <c r="C40" s="68" t="s">
        <v>483</v>
      </c>
      <c r="E40" s="68">
        <v>1</v>
      </c>
      <c r="F40" s="68">
        <v>1</v>
      </c>
      <c r="G40" s="68" t="s">
        <v>380</v>
      </c>
      <c r="H40" s="68" t="s">
        <v>381</v>
      </c>
      <c r="I40" s="68" t="s">
        <v>371</v>
      </c>
      <c r="J40" s="68" t="s">
        <v>372</v>
      </c>
      <c r="K40" s="68" t="s">
        <v>373</v>
      </c>
      <c r="M40" s="68" t="s">
        <v>105</v>
      </c>
      <c r="O40" s="69">
        <v>46098.831608796296</v>
      </c>
      <c r="P40" s="69">
        <v>46099.578935185185</v>
      </c>
      <c r="Q40" s="68" t="s">
        <v>382</v>
      </c>
      <c r="R40" s="68" t="s">
        <v>166</v>
      </c>
      <c r="S40" s="68" t="s">
        <v>70</v>
      </c>
      <c r="T40" s="68" t="s">
        <v>167</v>
      </c>
      <c r="U40" s="68" t="s">
        <v>102</v>
      </c>
      <c r="V40" s="68" t="s">
        <v>168</v>
      </c>
      <c r="W40" s="70" t="s">
        <v>484</v>
      </c>
      <c r="X40" s="68" t="s">
        <v>105</v>
      </c>
      <c r="AC40" s="68" t="s">
        <v>485</v>
      </c>
      <c r="AD40" s="68" t="s">
        <v>375</v>
      </c>
    </row>
    <row r="41" spans="1:30" ht="409.5">
      <c r="A41" s="68" t="s">
        <v>113</v>
      </c>
      <c r="B41" s="68" t="s">
        <v>367</v>
      </c>
      <c r="C41" s="68" t="s">
        <v>486</v>
      </c>
      <c r="E41" s="68">
        <v>1</v>
      </c>
      <c r="F41" s="68">
        <v>1</v>
      </c>
      <c r="G41" s="68" t="s">
        <v>380</v>
      </c>
      <c r="H41" s="68" t="s">
        <v>381</v>
      </c>
      <c r="I41" s="68" t="s">
        <v>371</v>
      </c>
      <c r="J41" s="68" t="s">
        <v>372</v>
      </c>
      <c r="K41" s="68" t="s">
        <v>373</v>
      </c>
      <c r="M41" s="68" t="s">
        <v>105</v>
      </c>
      <c r="O41" s="69">
        <v>46098.831608796296</v>
      </c>
      <c r="P41" s="69">
        <v>46099.578935185185</v>
      </c>
      <c r="Q41" s="68" t="s">
        <v>382</v>
      </c>
      <c r="R41" s="68" t="s">
        <v>114</v>
      </c>
      <c r="S41" s="68" t="s">
        <v>70</v>
      </c>
      <c r="T41" s="68" t="s">
        <v>443</v>
      </c>
      <c r="U41" s="68" t="s">
        <v>102</v>
      </c>
      <c r="V41" s="68" t="s">
        <v>115</v>
      </c>
      <c r="W41" s="70" t="s">
        <v>444</v>
      </c>
      <c r="X41" s="68" t="s">
        <v>105</v>
      </c>
      <c r="AC41" s="68" t="s">
        <v>487</v>
      </c>
      <c r="AD41" s="68" t="s">
        <v>375</v>
      </c>
    </row>
    <row r="42" spans="1:30" ht="409.5">
      <c r="A42" s="68" t="s">
        <v>106</v>
      </c>
      <c r="B42" s="68" t="s">
        <v>367</v>
      </c>
      <c r="C42" s="68" t="s">
        <v>488</v>
      </c>
      <c r="E42" s="68">
        <v>1</v>
      </c>
      <c r="F42" s="68">
        <v>1</v>
      </c>
      <c r="G42" s="68" t="s">
        <v>380</v>
      </c>
      <c r="H42" s="68" t="s">
        <v>381</v>
      </c>
      <c r="I42" s="68" t="s">
        <v>371</v>
      </c>
      <c r="J42" s="68" t="s">
        <v>372</v>
      </c>
      <c r="K42" s="68" t="s">
        <v>373</v>
      </c>
      <c r="M42" s="68" t="s">
        <v>105</v>
      </c>
      <c r="O42" s="69">
        <v>46098.831608796296</v>
      </c>
      <c r="P42" s="69">
        <v>46099.578935185185</v>
      </c>
      <c r="Q42" s="68" t="s">
        <v>382</v>
      </c>
      <c r="R42" s="68" t="s">
        <v>107</v>
      </c>
      <c r="S42" s="68" t="s">
        <v>70</v>
      </c>
      <c r="T42" s="68" t="s">
        <v>443</v>
      </c>
      <c r="U42" s="68" t="s">
        <v>102</v>
      </c>
      <c r="V42" s="68" t="s">
        <v>108</v>
      </c>
      <c r="W42" s="70" t="s">
        <v>444</v>
      </c>
      <c r="X42" s="68" t="s">
        <v>105</v>
      </c>
      <c r="AC42" s="68" t="s">
        <v>489</v>
      </c>
      <c r="AD42" s="68" t="s">
        <v>375</v>
      </c>
    </row>
    <row r="43" spans="1:30" ht="375">
      <c r="A43" s="68" t="s">
        <v>267</v>
      </c>
      <c r="B43" s="68" t="s">
        <v>367</v>
      </c>
      <c r="C43" s="68" t="s">
        <v>490</v>
      </c>
      <c r="E43" s="68">
        <v>1</v>
      </c>
      <c r="F43" s="68">
        <v>1</v>
      </c>
      <c r="G43" s="68" t="s">
        <v>380</v>
      </c>
      <c r="H43" s="68" t="s">
        <v>381</v>
      </c>
      <c r="I43" s="68" t="s">
        <v>371</v>
      </c>
      <c r="J43" s="68" t="s">
        <v>372</v>
      </c>
      <c r="K43" s="68" t="s">
        <v>373</v>
      </c>
      <c r="M43" s="68" t="s">
        <v>105</v>
      </c>
      <c r="O43" s="69">
        <v>46098.831620370373</v>
      </c>
      <c r="P43" s="69">
        <v>46099.578935185185</v>
      </c>
      <c r="Q43" s="68" t="s">
        <v>382</v>
      </c>
      <c r="R43" s="68" t="s">
        <v>268</v>
      </c>
      <c r="S43" s="68" t="s">
        <v>70</v>
      </c>
      <c r="T43" s="68" t="s">
        <v>262</v>
      </c>
      <c r="U43" s="68" t="s">
        <v>102</v>
      </c>
      <c r="V43" s="68" t="s">
        <v>269</v>
      </c>
      <c r="W43" s="70" t="s">
        <v>400</v>
      </c>
      <c r="X43" s="68" t="s">
        <v>105</v>
      </c>
      <c r="AC43" s="68" t="s">
        <v>491</v>
      </c>
      <c r="AD43" s="68" t="s">
        <v>375</v>
      </c>
    </row>
    <row r="44" spans="1:30" ht="409.5">
      <c r="A44" s="68" t="s">
        <v>135</v>
      </c>
      <c r="B44" s="68" t="s">
        <v>367</v>
      </c>
      <c r="C44" s="68" t="s">
        <v>492</v>
      </c>
      <c r="E44" s="68">
        <v>1</v>
      </c>
      <c r="F44" s="68">
        <v>1</v>
      </c>
      <c r="G44" s="68" t="s">
        <v>380</v>
      </c>
      <c r="H44" s="68" t="s">
        <v>381</v>
      </c>
      <c r="I44" s="68" t="s">
        <v>371</v>
      </c>
      <c r="J44" s="68" t="s">
        <v>372</v>
      </c>
      <c r="K44" s="68" t="s">
        <v>373</v>
      </c>
      <c r="M44" s="68" t="s">
        <v>105</v>
      </c>
      <c r="O44" s="69">
        <v>46098.831620370373</v>
      </c>
      <c r="P44" s="69">
        <v>46099.578935185185</v>
      </c>
      <c r="Q44" s="68" t="s">
        <v>382</v>
      </c>
      <c r="R44" s="68" t="s">
        <v>136</v>
      </c>
      <c r="S44" s="68" t="s">
        <v>70</v>
      </c>
      <c r="T44" s="68" t="s">
        <v>131</v>
      </c>
      <c r="U44" s="68" t="s">
        <v>102</v>
      </c>
      <c r="V44" s="68" t="s">
        <v>137</v>
      </c>
      <c r="W44" s="70" t="s">
        <v>395</v>
      </c>
      <c r="X44" s="68" t="s">
        <v>105</v>
      </c>
      <c r="AC44" s="68" t="s">
        <v>493</v>
      </c>
      <c r="AD44" s="68" t="s">
        <v>375</v>
      </c>
    </row>
    <row r="45" spans="1:30" ht="409.5">
      <c r="A45" s="68" t="s">
        <v>101</v>
      </c>
      <c r="B45" s="68" t="s">
        <v>367</v>
      </c>
      <c r="C45" s="68" t="s">
        <v>494</v>
      </c>
      <c r="E45" s="68">
        <v>1</v>
      </c>
      <c r="F45" s="68">
        <v>1</v>
      </c>
      <c r="G45" s="68" t="s">
        <v>380</v>
      </c>
      <c r="H45" s="68" t="s">
        <v>381</v>
      </c>
      <c r="I45" s="68" t="s">
        <v>371</v>
      </c>
      <c r="J45" s="68" t="s">
        <v>372</v>
      </c>
      <c r="K45" s="68" t="s">
        <v>373</v>
      </c>
      <c r="M45" s="68" t="s">
        <v>105</v>
      </c>
      <c r="O45" s="69">
        <v>46098.831620370373</v>
      </c>
      <c r="P45" s="69">
        <v>46099.578935185185</v>
      </c>
      <c r="Q45" s="68" t="s">
        <v>382</v>
      </c>
      <c r="R45" s="68" t="s">
        <v>495</v>
      </c>
      <c r="S45" s="68" t="s">
        <v>70</v>
      </c>
      <c r="T45" s="68" t="s">
        <v>443</v>
      </c>
      <c r="U45" s="68" t="s">
        <v>102</v>
      </c>
      <c r="V45" s="68" t="s">
        <v>103</v>
      </c>
      <c r="W45" s="70" t="s">
        <v>444</v>
      </c>
      <c r="X45" s="68" t="s">
        <v>105</v>
      </c>
      <c r="AC45" s="68" t="s">
        <v>496</v>
      </c>
      <c r="AD45" s="68" t="s">
        <v>375</v>
      </c>
    </row>
    <row r="46" spans="1:30" ht="409.5">
      <c r="A46" s="68" t="s">
        <v>253</v>
      </c>
      <c r="B46" s="68" t="s">
        <v>367</v>
      </c>
      <c r="C46" s="68" t="s">
        <v>497</v>
      </c>
      <c r="E46" s="68">
        <v>1</v>
      </c>
      <c r="F46" s="68">
        <v>1</v>
      </c>
      <c r="G46" s="68" t="s">
        <v>380</v>
      </c>
      <c r="H46" s="68" t="s">
        <v>381</v>
      </c>
      <c r="I46" s="68" t="s">
        <v>371</v>
      </c>
      <c r="J46" s="68" t="s">
        <v>372</v>
      </c>
      <c r="K46" s="68" t="s">
        <v>373</v>
      </c>
      <c r="M46" s="68" t="s">
        <v>105</v>
      </c>
      <c r="O46" s="69">
        <v>46098.831620370373</v>
      </c>
      <c r="P46" s="69">
        <v>46099.578935185185</v>
      </c>
      <c r="Q46" s="68" t="s">
        <v>382</v>
      </c>
      <c r="R46" s="68" t="s">
        <v>498</v>
      </c>
      <c r="S46" s="68" t="s">
        <v>70</v>
      </c>
      <c r="T46" s="68" t="s">
        <v>251</v>
      </c>
      <c r="U46" s="68" t="s">
        <v>102</v>
      </c>
      <c r="V46" s="68" t="s">
        <v>254</v>
      </c>
      <c r="W46" s="70" t="s">
        <v>411</v>
      </c>
      <c r="X46" s="68" t="s">
        <v>105</v>
      </c>
      <c r="AC46" s="68" t="s">
        <v>499</v>
      </c>
      <c r="AD46" s="68" t="s">
        <v>375</v>
      </c>
    </row>
    <row r="47" spans="1:30" ht="409.5">
      <c r="A47" s="68" t="s">
        <v>200</v>
      </c>
      <c r="B47" s="68" t="s">
        <v>367</v>
      </c>
      <c r="C47" s="68" t="s">
        <v>500</v>
      </c>
      <c r="E47" s="68">
        <v>1</v>
      </c>
      <c r="F47" s="68">
        <v>1</v>
      </c>
      <c r="G47" s="68" t="s">
        <v>380</v>
      </c>
      <c r="H47" s="68" t="s">
        <v>381</v>
      </c>
      <c r="I47" s="68" t="s">
        <v>371</v>
      </c>
      <c r="J47" s="68" t="s">
        <v>372</v>
      </c>
      <c r="K47" s="68" t="s">
        <v>373</v>
      </c>
      <c r="M47" s="68" t="s">
        <v>105</v>
      </c>
      <c r="O47" s="69">
        <v>46098.831620370373</v>
      </c>
      <c r="P47" s="69">
        <v>46099.578946759262</v>
      </c>
      <c r="Q47" s="68" t="s">
        <v>382</v>
      </c>
      <c r="R47" s="68" t="s">
        <v>201</v>
      </c>
      <c r="S47" s="68" t="s">
        <v>70</v>
      </c>
      <c r="T47" s="68" t="s">
        <v>193</v>
      </c>
      <c r="U47" s="68" t="s">
        <v>102</v>
      </c>
      <c r="V47" s="68" t="s">
        <v>202</v>
      </c>
      <c r="W47" s="70" t="s">
        <v>432</v>
      </c>
      <c r="X47" s="68" t="s">
        <v>105</v>
      </c>
      <c r="AC47" s="68" t="s">
        <v>501</v>
      </c>
      <c r="AD47" s="68" t="s">
        <v>375</v>
      </c>
    </row>
    <row r="48" spans="1:30" ht="409.5">
      <c r="A48" s="68" t="s">
        <v>185</v>
      </c>
      <c r="B48" s="68" t="s">
        <v>367</v>
      </c>
      <c r="C48" s="68" t="s">
        <v>502</v>
      </c>
      <c r="E48" s="68">
        <v>1</v>
      </c>
      <c r="F48" s="68">
        <v>1</v>
      </c>
      <c r="G48" s="68" t="s">
        <v>380</v>
      </c>
      <c r="H48" s="68" t="s">
        <v>381</v>
      </c>
      <c r="I48" s="68" t="s">
        <v>371</v>
      </c>
      <c r="J48" s="68" t="s">
        <v>372</v>
      </c>
      <c r="K48" s="68" t="s">
        <v>373</v>
      </c>
      <c r="M48" s="68" t="s">
        <v>105</v>
      </c>
      <c r="O48" s="69">
        <v>46098.831620370373</v>
      </c>
      <c r="P48" s="69">
        <v>46099.578935185185</v>
      </c>
      <c r="Q48" s="68" t="s">
        <v>382</v>
      </c>
      <c r="R48" s="68" t="s">
        <v>186</v>
      </c>
      <c r="S48" s="68" t="s">
        <v>70</v>
      </c>
      <c r="T48" s="68" t="s">
        <v>180</v>
      </c>
      <c r="U48" s="68" t="s">
        <v>102</v>
      </c>
      <c r="V48" s="68" t="s">
        <v>187</v>
      </c>
      <c r="W48" s="70" t="s">
        <v>414</v>
      </c>
      <c r="X48" s="68" t="s">
        <v>105</v>
      </c>
      <c r="AC48" s="68" t="s">
        <v>503</v>
      </c>
      <c r="AD48" s="68" t="s">
        <v>375</v>
      </c>
    </row>
    <row r="49" spans="1:30" ht="409.5">
      <c r="A49" s="68" t="s">
        <v>197</v>
      </c>
      <c r="B49" s="68" t="s">
        <v>367</v>
      </c>
      <c r="C49" s="68" t="s">
        <v>504</v>
      </c>
      <c r="E49" s="68">
        <v>1</v>
      </c>
      <c r="F49" s="68">
        <v>1</v>
      </c>
      <c r="G49" s="68" t="s">
        <v>380</v>
      </c>
      <c r="H49" s="68" t="s">
        <v>381</v>
      </c>
      <c r="I49" s="68" t="s">
        <v>371</v>
      </c>
      <c r="J49" s="68" t="s">
        <v>372</v>
      </c>
      <c r="K49" s="68" t="s">
        <v>373</v>
      </c>
      <c r="M49" s="68" t="s">
        <v>105</v>
      </c>
      <c r="O49" s="69">
        <v>46098.831620370373</v>
      </c>
      <c r="P49" s="69">
        <v>46099.578935185185</v>
      </c>
      <c r="Q49" s="68" t="s">
        <v>382</v>
      </c>
      <c r="R49" s="68" t="s">
        <v>198</v>
      </c>
      <c r="S49" s="68" t="s">
        <v>70</v>
      </c>
      <c r="T49" s="68" t="s">
        <v>193</v>
      </c>
      <c r="U49" s="68" t="s">
        <v>102</v>
      </c>
      <c r="V49" s="68" t="s">
        <v>199</v>
      </c>
      <c r="W49" s="70" t="s">
        <v>432</v>
      </c>
      <c r="X49" s="68" t="s">
        <v>105</v>
      </c>
      <c r="AC49" s="68" t="s">
        <v>505</v>
      </c>
      <c r="AD49" s="68" t="s">
        <v>375</v>
      </c>
    </row>
    <row r="50" spans="1:30" ht="409.5">
      <c r="A50" s="68" t="s">
        <v>243</v>
      </c>
      <c r="B50" s="68" t="s">
        <v>367</v>
      </c>
      <c r="C50" s="68" t="s">
        <v>506</v>
      </c>
      <c r="E50" s="68">
        <v>1</v>
      </c>
      <c r="F50" s="68">
        <v>1</v>
      </c>
      <c r="G50" s="68" t="s">
        <v>380</v>
      </c>
      <c r="H50" s="68" t="s">
        <v>381</v>
      </c>
      <c r="I50" s="68" t="s">
        <v>371</v>
      </c>
      <c r="J50" s="68" t="s">
        <v>372</v>
      </c>
      <c r="K50" s="68" t="s">
        <v>373</v>
      </c>
      <c r="M50" s="68" t="s">
        <v>105</v>
      </c>
      <c r="O50" s="69">
        <v>46098.831620370373</v>
      </c>
      <c r="P50" s="69">
        <v>46099.578935185185</v>
      </c>
      <c r="Q50" s="68" t="s">
        <v>382</v>
      </c>
      <c r="R50" s="68" t="s">
        <v>244</v>
      </c>
      <c r="S50" s="68" t="s">
        <v>70</v>
      </c>
      <c r="T50" s="68" t="s">
        <v>239</v>
      </c>
      <c r="U50" s="68" t="s">
        <v>102</v>
      </c>
      <c r="V50" s="68" t="s">
        <v>245</v>
      </c>
      <c r="W50" s="70" t="s">
        <v>428</v>
      </c>
      <c r="X50" s="68" t="s">
        <v>105</v>
      </c>
      <c r="AC50" s="68" t="s">
        <v>507</v>
      </c>
      <c r="AD50" s="68" t="s">
        <v>375</v>
      </c>
    </row>
    <row r="51" spans="1:30" ht="409.5">
      <c r="A51" s="68" t="s">
        <v>153</v>
      </c>
      <c r="B51" s="68" t="s">
        <v>367</v>
      </c>
      <c r="C51" s="68" t="s">
        <v>508</v>
      </c>
      <c r="E51" s="68">
        <v>1</v>
      </c>
      <c r="F51" s="68">
        <v>1</v>
      </c>
      <c r="G51" s="68" t="s">
        <v>380</v>
      </c>
      <c r="H51" s="68" t="s">
        <v>381</v>
      </c>
      <c r="I51" s="68" t="s">
        <v>371</v>
      </c>
      <c r="J51" s="68" t="s">
        <v>372</v>
      </c>
      <c r="K51" s="68" t="s">
        <v>373</v>
      </c>
      <c r="M51" s="68" t="s">
        <v>105</v>
      </c>
      <c r="O51" s="69">
        <v>46098.831620370373</v>
      </c>
      <c r="P51" s="69">
        <v>46099.578946759262</v>
      </c>
      <c r="Q51" s="68" t="s">
        <v>382</v>
      </c>
      <c r="R51" s="68" t="s">
        <v>154</v>
      </c>
      <c r="S51" s="68" t="s">
        <v>70</v>
      </c>
      <c r="T51" s="68" t="s">
        <v>155</v>
      </c>
      <c r="U51" s="68" t="s">
        <v>102</v>
      </c>
      <c r="V51" s="68" t="s">
        <v>156</v>
      </c>
      <c r="W51" s="70" t="s">
        <v>468</v>
      </c>
      <c r="X51" s="68" t="s">
        <v>105</v>
      </c>
      <c r="AC51" s="68" t="s">
        <v>509</v>
      </c>
      <c r="AD51" s="68" t="s">
        <v>375</v>
      </c>
    </row>
    <row r="52" spans="1:30" ht="409.5">
      <c r="A52" s="68" t="s">
        <v>255</v>
      </c>
      <c r="B52" s="68" t="s">
        <v>367</v>
      </c>
      <c r="C52" s="68" t="s">
        <v>510</v>
      </c>
      <c r="E52" s="68">
        <v>1</v>
      </c>
      <c r="F52" s="68">
        <v>1</v>
      </c>
      <c r="G52" s="68" t="s">
        <v>380</v>
      </c>
      <c r="H52" s="68" t="s">
        <v>381</v>
      </c>
      <c r="I52" s="68" t="s">
        <v>371</v>
      </c>
      <c r="J52" s="68" t="s">
        <v>372</v>
      </c>
      <c r="K52" s="68" t="s">
        <v>373</v>
      </c>
      <c r="M52" s="68" t="s">
        <v>105</v>
      </c>
      <c r="O52" s="69">
        <v>46098.831620370373</v>
      </c>
      <c r="P52" s="69">
        <v>46099.578935185185</v>
      </c>
      <c r="Q52" s="68" t="s">
        <v>382</v>
      </c>
      <c r="R52" s="68" t="s">
        <v>511</v>
      </c>
      <c r="S52" s="68" t="s">
        <v>70</v>
      </c>
      <c r="T52" s="68" t="s">
        <v>251</v>
      </c>
      <c r="U52" s="68" t="s">
        <v>102</v>
      </c>
      <c r="V52" s="68" t="s">
        <v>256</v>
      </c>
      <c r="W52" s="70" t="s">
        <v>411</v>
      </c>
      <c r="X52" s="68" t="s">
        <v>105</v>
      </c>
      <c r="AC52" s="68" t="s">
        <v>512</v>
      </c>
      <c r="AD52" s="68" t="s">
        <v>375</v>
      </c>
    </row>
    <row r="53" spans="1:30" ht="409.5">
      <c r="A53" s="68" t="s">
        <v>162</v>
      </c>
      <c r="B53" s="68" t="s">
        <v>367</v>
      </c>
      <c r="C53" s="68" t="s">
        <v>513</v>
      </c>
      <c r="E53" s="68">
        <v>1</v>
      </c>
      <c r="F53" s="68">
        <v>1</v>
      </c>
      <c r="G53" s="68" t="s">
        <v>380</v>
      </c>
      <c r="H53" s="68" t="s">
        <v>381</v>
      </c>
      <c r="I53" s="68" t="s">
        <v>371</v>
      </c>
      <c r="J53" s="68" t="s">
        <v>372</v>
      </c>
      <c r="K53" s="68" t="s">
        <v>373</v>
      </c>
      <c r="M53" s="68" t="s">
        <v>105</v>
      </c>
      <c r="O53" s="69">
        <v>46098.831620370373</v>
      </c>
      <c r="P53" s="69">
        <v>46099.578935185185</v>
      </c>
      <c r="Q53" s="68" t="s">
        <v>382</v>
      </c>
      <c r="R53" s="68" t="s">
        <v>163</v>
      </c>
      <c r="S53" s="68" t="s">
        <v>70</v>
      </c>
      <c r="T53" s="68" t="s">
        <v>155</v>
      </c>
      <c r="U53" s="68" t="s">
        <v>102</v>
      </c>
      <c r="V53" s="68" t="s">
        <v>164</v>
      </c>
      <c r="W53" s="70" t="s">
        <v>468</v>
      </c>
      <c r="X53" s="68" t="s">
        <v>105</v>
      </c>
      <c r="AC53" s="68" t="s">
        <v>514</v>
      </c>
      <c r="AD53" s="68" t="s">
        <v>375</v>
      </c>
    </row>
    <row r="54" spans="1:30" ht="409.5">
      <c r="A54" s="68" t="s">
        <v>138</v>
      </c>
      <c r="B54" s="68" t="s">
        <v>367</v>
      </c>
      <c r="C54" s="68" t="s">
        <v>515</v>
      </c>
      <c r="E54" s="68">
        <v>1</v>
      </c>
      <c r="F54" s="68">
        <v>1</v>
      </c>
      <c r="G54" s="68" t="s">
        <v>380</v>
      </c>
      <c r="H54" s="68" t="s">
        <v>381</v>
      </c>
      <c r="I54" s="68" t="s">
        <v>371</v>
      </c>
      <c r="J54" s="68" t="s">
        <v>372</v>
      </c>
      <c r="K54" s="68" t="s">
        <v>373</v>
      </c>
      <c r="M54" s="68" t="s">
        <v>105</v>
      </c>
      <c r="O54" s="69">
        <v>46098.831620370373</v>
      </c>
      <c r="P54" s="69">
        <v>46099.578946759262</v>
      </c>
      <c r="Q54" s="68" t="s">
        <v>382</v>
      </c>
      <c r="R54" s="68" t="s">
        <v>139</v>
      </c>
      <c r="S54" s="68" t="s">
        <v>70</v>
      </c>
      <c r="T54" s="68" t="s">
        <v>131</v>
      </c>
      <c r="U54" s="68" t="s">
        <v>102</v>
      </c>
      <c r="V54" s="68" t="s">
        <v>140</v>
      </c>
      <c r="W54" s="70" t="s">
        <v>395</v>
      </c>
      <c r="X54" s="68" t="s">
        <v>105</v>
      </c>
      <c r="AC54" s="68" t="s">
        <v>516</v>
      </c>
      <c r="AD54" s="68" t="s">
        <v>375</v>
      </c>
    </row>
    <row r="55" spans="1:30" ht="409.5">
      <c r="A55" s="68" t="s">
        <v>169</v>
      </c>
      <c r="B55" s="68" t="s">
        <v>367</v>
      </c>
      <c r="C55" s="68" t="s">
        <v>517</v>
      </c>
      <c r="E55" s="68">
        <v>1</v>
      </c>
      <c r="F55" s="68">
        <v>1</v>
      </c>
      <c r="G55" s="68" t="s">
        <v>380</v>
      </c>
      <c r="H55" s="68" t="s">
        <v>381</v>
      </c>
      <c r="I55" s="68" t="s">
        <v>371</v>
      </c>
      <c r="J55" s="68" t="s">
        <v>372</v>
      </c>
      <c r="K55" s="68" t="s">
        <v>373</v>
      </c>
      <c r="M55" s="68" t="s">
        <v>105</v>
      </c>
      <c r="O55" s="69">
        <v>46098.831620370373</v>
      </c>
      <c r="P55" s="69">
        <v>46099.578935185185</v>
      </c>
      <c r="Q55" s="68" t="s">
        <v>382</v>
      </c>
      <c r="R55" s="68" t="s">
        <v>170</v>
      </c>
      <c r="S55" s="68" t="s">
        <v>70</v>
      </c>
      <c r="T55" s="68" t="s">
        <v>167</v>
      </c>
      <c r="U55" s="68" t="s">
        <v>102</v>
      </c>
      <c r="V55" s="68" t="s">
        <v>171</v>
      </c>
      <c r="W55" s="70" t="s">
        <v>484</v>
      </c>
      <c r="X55" s="68" t="s">
        <v>105</v>
      </c>
      <c r="AC55" s="68" t="s">
        <v>518</v>
      </c>
      <c r="AD55" s="68" t="s">
        <v>375</v>
      </c>
    </row>
    <row r="56" spans="1:30" ht="375">
      <c r="A56" s="68" t="s">
        <v>260</v>
      </c>
      <c r="B56" s="68" t="s">
        <v>367</v>
      </c>
      <c r="C56" s="68" t="s">
        <v>519</v>
      </c>
      <c r="E56" s="68">
        <v>1</v>
      </c>
      <c r="F56" s="68">
        <v>1</v>
      </c>
      <c r="G56" s="68" t="s">
        <v>380</v>
      </c>
      <c r="H56" s="68" t="s">
        <v>381</v>
      </c>
      <c r="I56" s="68" t="s">
        <v>371</v>
      </c>
      <c r="J56" s="68" t="s">
        <v>372</v>
      </c>
      <c r="K56" s="68" t="s">
        <v>373</v>
      </c>
      <c r="M56" s="68" t="s">
        <v>105</v>
      </c>
      <c r="O56" s="69">
        <v>46098.831620370373</v>
      </c>
      <c r="P56" s="69">
        <v>46099.578935185185</v>
      </c>
      <c r="Q56" s="68" t="s">
        <v>382</v>
      </c>
      <c r="R56" s="68" t="s">
        <v>261</v>
      </c>
      <c r="S56" s="68" t="s">
        <v>70</v>
      </c>
      <c r="T56" s="68" t="s">
        <v>262</v>
      </c>
      <c r="U56" s="68" t="s">
        <v>102</v>
      </c>
      <c r="V56" s="68" t="s">
        <v>263</v>
      </c>
      <c r="W56" s="70" t="s">
        <v>400</v>
      </c>
      <c r="X56" s="68" t="s">
        <v>105</v>
      </c>
      <c r="AC56" s="68" t="s">
        <v>520</v>
      </c>
      <c r="AD56" s="68" t="s">
        <v>375</v>
      </c>
    </row>
    <row r="57" spans="1:30" ht="409.5">
      <c r="A57" s="68" t="s">
        <v>129</v>
      </c>
      <c r="B57" s="68" t="s">
        <v>367</v>
      </c>
      <c r="C57" s="68" t="s">
        <v>521</v>
      </c>
      <c r="E57" s="68">
        <v>1</v>
      </c>
      <c r="F57" s="68">
        <v>1</v>
      </c>
      <c r="G57" s="68" t="s">
        <v>380</v>
      </c>
      <c r="H57" s="68" t="s">
        <v>381</v>
      </c>
      <c r="I57" s="68" t="s">
        <v>371</v>
      </c>
      <c r="J57" s="68" t="s">
        <v>372</v>
      </c>
      <c r="K57" s="68" t="s">
        <v>373</v>
      </c>
      <c r="M57" s="68" t="s">
        <v>105</v>
      </c>
      <c r="O57" s="69">
        <v>46098.831620370373</v>
      </c>
      <c r="P57" s="69">
        <v>46099.578935185185</v>
      </c>
      <c r="Q57" s="68" t="s">
        <v>382</v>
      </c>
      <c r="R57" s="68" t="s">
        <v>130</v>
      </c>
      <c r="S57" s="68" t="s">
        <v>70</v>
      </c>
      <c r="T57" s="68" t="s">
        <v>131</v>
      </c>
      <c r="U57" s="68" t="s">
        <v>102</v>
      </c>
      <c r="V57" s="68" t="s">
        <v>132</v>
      </c>
      <c r="W57" s="70" t="s">
        <v>395</v>
      </c>
      <c r="X57" s="68" t="s">
        <v>105</v>
      </c>
      <c r="AC57" s="68" t="s">
        <v>522</v>
      </c>
      <c r="AD57" s="68" t="s">
        <v>375</v>
      </c>
    </row>
    <row r="58" spans="1:30" ht="409.5">
      <c r="A58" s="68" t="s">
        <v>291</v>
      </c>
      <c r="B58" s="68" t="s">
        <v>367</v>
      </c>
      <c r="C58" s="68" t="s">
        <v>523</v>
      </c>
      <c r="E58" s="68">
        <v>1</v>
      </c>
      <c r="F58" s="68">
        <v>1</v>
      </c>
      <c r="G58" s="68" t="s">
        <v>380</v>
      </c>
      <c r="H58" s="68" t="s">
        <v>381</v>
      </c>
      <c r="I58" s="68" t="s">
        <v>371</v>
      </c>
      <c r="J58" s="68" t="s">
        <v>372</v>
      </c>
      <c r="K58" s="68" t="s">
        <v>373</v>
      </c>
      <c r="M58" s="68" t="s">
        <v>105</v>
      </c>
      <c r="O58" s="69">
        <v>46098.831620370373</v>
      </c>
      <c r="P58" s="69">
        <v>46099.578935185185</v>
      </c>
      <c r="Q58" s="68" t="s">
        <v>382</v>
      </c>
      <c r="R58" s="68" t="s">
        <v>292</v>
      </c>
      <c r="S58" s="68" t="s">
        <v>70</v>
      </c>
      <c r="T58" s="68" t="s">
        <v>284</v>
      </c>
      <c r="U58" s="68" t="s">
        <v>102</v>
      </c>
      <c r="V58" s="68" t="s">
        <v>293</v>
      </c>
      <c r="W58" s="70" t="s">
        <v>417</v>
      </c>
      <c r="X58" s="68" t="s">
        <v>105</v>
      </c>
      <c r="AC58" s="68" t="s">
        <v>524</v>
      </c>
      <c r="AD58" s="68" t="s">
        <v>375</v>
      </c>
    </row>
    <row r="59" spans="1:30" ht="409.5">
      <c r="A59" s="68" t="s">
        <v>237</v>
      </c>
      <c r="B59" s="68" t="s">
        <v>367</v>
      </c>
      <c r="C59" s="68" t="s">
        <v>525</v>
      </c>
      <c r="E59" s="68">
        <v>1</v>
      </c>
      <c r="F59" s="68">
        <v>1</v>
      </c>
      <c r="G59" s="68" t="s">
        <v>380</v>
      </c>
      <c r="H59" s="68" t="s">
        <v>381</v>
      </c>
      <c r="I59" s="68" t="s">
        <v>371</v>
      </c>
      <c r="J59" s="68" t="s">
        <v>372</v>
      </c>
      <c r="K59" s="68" t="s">
        <v>373</v>
      </c>
      <c r="M59" s="68" t="s">
        <v>105</v>
      </c>
      <c r="O59" s="69">
        <v>46098.831620370373</v>
      </c>
      <c r="P59" s="69">
        <v>46099.578935185185</v>
      </c>
      <c r="Q59" s="68" t="s">
        <v>382</v>
      </c>
      <c r="R59" s="68" t="s">
        <v>238</v>
      </c>
      <c r="S59" s="68" t="s">
        <v>70</v>
      </c>
      <c r="T59" s="68" t="s">
        <v>239</v>
      </c>
      <c r="U59" s="68" t="s">
        <v>102</v>
      </c>
      <c r="V59" s="68" t="s">
        <v>240</v>
      </c>
      <c r="W59" s="70" t="s">
        <v>428</v>
      </c>
      <c r="X59" s="68" t="s">
        <v>105</v>
      </c>
      <c r="AC59" s="68" t="s">
        <v>526</v>
      </c>
      <c r="AD59" s="68" t="s">
        <v>375</v>
      </c>
    </row>
    <row r="60" spans="1:30" ht="409.5">
      <c r="A60" s="68" t="s">
        <v>175</v>
      </c>
      <c r="B60" s="68" t="s">
        <v>367</v>
      </c>
      <c r="C60" s="68" t="s">
        <v>527</v>
      </c>
      <c r="E60" s="68">
        <v>1</v>
      </c>
      <c r="F60" s="68">
        <v>1</v>
      </c>
      <c r="G60" s="68" t="s">
        <v>380</v>
      </c>
      <c r="H60" s="68" t="s">
        <v>381</v>
      </c>
      <c r="I60" s="68" t="s">
        <v>371</v>
      </c>
      <c r="J60" s="68" t="s">
        <v>372</v>
      </c>
      <c r="K60" s="68" t="s">
        <v>373</v>
      </c>
      <c r="M60" s="68" t="s">
        <v>105</v>
      </c>
      <c r="O60" s="69">
        <v>46098.831620370373</v>
      </c>
      <c r="P60" s="69">
        <v>46099.578946759262</v>
      </c>
      <c r="Q60" s="68" t="s">
        <v>382</v>
      </c>
      <c r="R60" s="68" t="s">
        <v>176</v>
      </c>
      <c r="S60" s="68" t="s">
        <v>70</v>
      </c>
      <c r="T60" s="68" t="s">
        <v>167</v>
      </c>
      <c r="U60" s="68" t="s">
        <v>102</v>
      </c>
      <c r="V60" s="68" t="s">
        <v>177</v>
      </c>
      <c r="W60" s="70" t="s">
        <v>484</v>
      </c>
      <c r="X60" s="68" t="s">
        <v>105</v>
      </c>
      <c r="AC60" s="68" t="s">
        <v>528</v>
      </c>
      <c r="AD60" s="68" t="s">
        <v>375</v>
      </c>
    </row>
    <row r="61" spans="1:30" ht="409.5">
      <c r="A61" s="68" t="s">
        <v>157</v>
      </c>
      <c r="B61" s="68" t="s">
        <v>367</v>
      </c>
      <c r="C61" s="68" t="s">
        <v>529</v>
      </c>
      <c r="E61" s="68">
        <v>1</v>
      </c>
      <c r="F61" s="68">
        <v>1</v>
      </c>
      <c r="G61" s="68" t="s">
        <v>380</v>
      </c>
      <c r="H61" s="68" t="s">
        <v>381</v>
      </c>
      <c r="I61" s="68" t="s">
        <v>371</v>
      </c>
      <c r="J61" s="68" t="s">
        <v>372</v>
      </c>
      <c r="K61" s="68" t="s">
        <v>373</v>
      </c>
      <c r="M61" s="68" t="s">
        <v>105</v>
      </c>
      <c r="O61" s="69">
        <v>46098.831620370373</v>
      </c>
      <c r="P61" s="69">
        <v>46099.578935185185</v>
      </c>
      <c r="Q61" s="68" t="s">
        <v>382</v>
      </c>
      <c r="R61" s="68" t="s">
        <v>530</v>
      </c>
      <c r="S61" s="68" t="s">
        <v>70</v>
      </c>
      <c r="T61" s="68" t="s">
        <v>155</v>
      </c>
      <c r="U61" s="68" t="s">
        <v>102</v>
      </c>
      <c r="V61" s="68" t="s">
        <v>158</v>
      </c>
      <c r="W61" s="70" t="s">
        <v>468</v>
      </c>
      <c r="X61" s="68" t="s">
        <v>105</v>
      </c>
      <c r="AC61" s="68" t="s">
        <v>531</v>
      </c>
      <c r="AD61" s="68" t="s">
        <v>375</v>
      </c>
    </row>
    <row r="62" spans="1:30" ht="409.5">
      <c r="A62" s="68" t="s">
        <v>191</v>
      </c>
      <c r="B62" s="68" t="s">
        <v>367</v>
      </c>
      <c r="C62" s="68" t="s">
        <v>532</v>
      </c>
      <c r="E62" s="68">
        <v>1</v>
      </c>
      <c r="F62" s="68">
        <v>1</v>
      </c>
      <c r="G62" s="68" t="s">
        <v>380</v>
      </c>
      <c r="H62" s="68" t="s">
        <v>381</v>
      </c>
      <c r="I62" s="68" t="s">
        <v>371</v>
      </c>
      <c r="J62" s="68" t="s">
        <v>372</v>
      </c>
      <c r="K62" s="68" t="s">
        <v>373</v>
      </c>
      <c r="M62" s="68" t="s">
        <v>105</v>
      </c>
      <c r="O62" s="69">
        <v>46098.831620370373</v>
      </c>
      <c r="P62" s="69">
        <v>46099.578935185185</v>
      </c>
      <c r="Q62" s="68" t="s">
        <v>382</v>
      </c>
      <c r="R62" s="68" t="s">
        <v>192</v>
      </c>
      <c r="S62" s="68" t="s">
        <v>70</v>
      </c>
      <c r="T62" s="68" t="s">
        <v>193</v>
      </c>
      <c r="U62" s="68" t="s">
        <v>102</v>
      </c>
      <c r="V62" s="68" t="s">
        <v>194</v>
      </c>
      <c r="W62" s="70" t="s">
        <v>432</v>
      </c>
      <c r="X62" s="68" t="s">
        <v>105</v>
      </c>
      <c r="AC62" s="68" t="s">
        <v>533</v>
      </c>
      <c r="AD62" s="68" t="s">
        <v>375</v>
      </c>
    </row>
    <row r="63" spans="1:30" ht="409.5">
      <c r="A63" s="68" t="s">
        <v>270</v>
      </c>
      <c r="B63" s="68" t="s">
        <v>367</v>
      </c>
      <c r="C63" s="68" t="s">
        <v>534</v>
      </c>
      <c r="E63" s="68">
        <v>1</v>
      </c>
      <c r="F63" s="68">
        <v>1</v>
      </c>
      <c r="G63" s="68" t="s">
        <v>380</v>
      </c>
      <c r="H63" s="68" t="s">
        <v>381</v>
      </c>
      <c r="I63" s="68" t="s">
        <v>371</v>
      </c>
      <c r="J63" s="68" t="s">
        <v>372</v>
      </c>
      <c r="K63" s="68" t="s">
        <v>373</v>
      </c>
      <c r="M63" s="68" t="s">
        <v>105</v>
      </c>
      <c r="O63" s="69">
        <v>46098.831620370373</v>
      </c>
      <c r="P63" s="69">
        <v>46099.578935185185</v>
      </c>
      <c r="Q63" s="68" t="s">
        <v>382</v>
      </c>
      <c r="R63" s="68" t="s">
        <v>271</v>
      </c>
      <c r="S63" s="68" t="s">
        <v>70</v>
      </c>
      <c r="T63" s="68" t="s">
        <v>272</v>
      </c>
      <c r="U63" s="68" t="s">
        <v>102</v>
      </c>
      <c r="V63" s="68" t="s">
        <v>273</v>
      </c>
      <c r="W63" s="70" t="s">
        <v>421</v>
      </c>
      <c r="X63" s="68" t="s">
        <v>105</v>
      </c>
      <c r="AC63" s="68" t="s">
        <v>535</v>
      </c>
      <c r="AD63" s="68" t="s">
        <v>375</v>
      </c>
    </row>
    <row r="64" spans="1:30" ht="409.5">
      <c r="A64" s="68" t="s">
        <v>288</v>
      </c>
      <c r="B64" s="68" t="s">
        <v>367</v>
      </c>
      <c r="C64" s="68" t="s">
        <v>536</v>
      </c>
      <c r="E64" s="68">
        <v>1</v>
      </c>
      <c r="F64" s="68">
        <v>1</v>
      </c>
      <c r="G64" s="68" t="s">
        <v>380</v>
      </c>
      <c r="H64" s="68" t="s">
        <v>381</v>
      </c>
      <c r="I64" s="68" t="s">
        <v>371</v>
      </c>
      <c r="J64" s="68" t="s">
        <v>372</v>
      </c>
      <c r="K64" s="68" t="s">
        <v>373</v>
      </c>
      <c r="M64" s="68" t="s">
        <v>105</v>
      </c>
      <c r="O64" s="69">
        <v>46098.831620370373</v>
      </c>
      <c r="P64" s="69">
        <v>46099.578935185185</v>
      </c>
      <c r="Q64" s="68" t="s">
        <v>382</v>
      </c>
      <c r="R64" s="68" t="s">
        <v>289</v>
      </c>
      <c r="S64" s="68" t="s">
        <v>70</v>
      </c>
      <c r="T64" s="68" t="s">
        <v>284</v>
      </c>
      <c r="U64" s="68" t="s">
        <v>102</v>
      </c>
      <c r="V64" s="68" t="s">
        <v>290</v>
      </c>
      <c r="W64" s="70" t="s">
        <v>417</v>
      </c>
      <c r="X64" s="68" t="s">
        <v>105</v>
      </c>
      <c r="AC64" s="68" t="s">
        <v>537</v>
      </c>
      <c r="AD64" s="68" t="s">
        <v>375</v>
      </c>
    </row>
    <row r="65" spans="1:30" ht="409.5">
      <c r="A65" s="68" t="s">
        <v>126</v>
      </c>
      <c r="B65" s="68" t="s">
        <v>367</v>
      </c>
      <c r="C65" s="68" t="s">
        <v>538</v>
      </c>
      <c r="E65" s="68">
        <v>1</v>
      </c>
      <c r="F65" s="68">
        <v>1</v>
      </c>
      <c r="G65" s="68" t="s">
        <v>380</v>
      </c>
      <c r="H65" s="68" t="s">
        <v>381</v>
      </c>
      <c r="I65" s="68" t="s">
        <v>371</v>
      </c>
      <c r="J65" s="68" t="s">
        <v>372</v>
      </c>
      <c r="K65" s="68" t="s">
        <v>373</v>
      </c>
      <c r="M65" s="68" t="s">
        <v>539</v>
      </c>
      <c r="O65" s="69">
        <v>46098.831620370373</v>
      </c>
      <c r="P65" s="69">
        <v>46099.578935185185</v>
      </c>
      <c r="Q65" s="68" t="s">
        <v>382</v>
      </c>
      <c r="R65" s="68" t="s">
        <v>127</v>
      </c>
      <c r="S65" s="68" t="s">
        <v>70</v>
      </c>
      <c r="T65" s="68" t="s">
        <v>118</v>
      </c>
      <c r="U65" s="68" t="s">
        <v>102</v>
      </c>
      <c r="V65" s="68" t="s">
        <v>128</v>
      </c>
      <c r="W65" s="70" t="s">
        <v>408</v>
      </c>
      <c r="X65" s="68" t="s">
        <v>105</v>
      </c>
      <c r="AC65" s="68" t="s">
        <v>540</v>
      </c>
      <c r="AD65" s="68" t="s">
        <v>375</v>
      </c>
    </row>
    <row r="66" spans="1:30" ht="409.5">
      <c r="A66" s="68" t="s">
        <v>172</v>
      </c>
      <c r="B66" s="68" t="s">
        <v>367</v>
      </c>
      <c r="C66" s="68" t="s">
        <v>541</v>
      </c>
      <c r="E66" s="68">
        <v>1</v>
      </c>
      <c r="F66" s="68">
        <v>1</v>
      </c>
      <c r="G66" s="68" t="s">
        <v>380</v>
      </c>
      <c r="H66" s="68" t="s">
        <v>381</v>
      </c>
      <c r="I66" s="68" t="s">
        <v>371</v>
      </c>
      <c r="J66" s="68" t="s">
        <v>372</v>
      </c>
      <c r="K66" s="68" t="s">
        <v>373</v>
      </c>
      <c r="M66" s="68" t="s">
        <v>539</v>
      </c>
      <c r="O66" s="69">
        <v>46098.831620370373</v>
      </c>
      <c r="P66" s="69">
        <v>46099.578935185185</v>
      </c>
      <c r="Q66" s="68" t="s">
        <v>382</v>
      </c>
      <c r="R66" s="68" t="s">
        <v>173</v>
      </c>
      <c r="S66" s="68" t="s">
        <v>70</v>
      </c>
      <c r="T66" s="68" t="s">
        <v>167</v>
      </c>
      <c r="U66" s="68" t="s">
        <v>102</v>
      </c>
      <c r="V66" s="68" t="s">
        <v>174</v>
      </c>
      <c r="W66" s="70" t="s">
        <v>484</v>
      </c>
      <c r="X66" s="68" t="s">
        <v>105</v>
      </c>
      <c r="AC66" s="68" t="s">
        <v>542</v>
      </c>
      <c r="AD66" s="68" t="s">
        <v>375</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5"/>
  <sheetViews>
    <sheetView workbookViewId="0"/>
  </sheetViews>
  <sheetFormatPr defaultColWidth="8.7109375" defaultRowHeight="12.75"/>
  <sheetData>
    <row r="1" spans="1:2">
      <c r="A1" t="s">
        <v>329</v>
      </c>
      <c r="B1" t="s">
        <v>330</v>
      </c>
    </row>
    <row r="2" spans="1:2">
      <c r="A2" t="s">
        <v>331</v>
      </c>
      <c r="B2" t="s">
        <v>332</v>
      </c>
    </row>
    <row r="3" spans="1:2">
      <c r="A3" t="s">
        <v>331</v>
      </c>
      <c r="B3" t="s">
        <v>333</v>
      </c>
    </row>
    <row r="4" spans="1:2">
      <c r="A4" t="s">
        <v>334</v>
      </c>
      <c r="B4" t="s">
        <v>335</v>
      </c>
    </row>
    <row r="5" spans="1:2">
      <c r="A5" t="s">
        <v>336</v>
      </c>
      <c r="B5" t="s">
        <v>337</v>
      </c>
    </row>
  </sheetData>
  <pageMargins left="0.75" right="0.75" top="1" bottom="1" header="0.5" footer="0.5"/>
  <pageSetup orientation="portrait"/>
  <headerFooter alignWithMargins="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017AD43BBAD6FD45BB97ADBAABB02307" ma:contentTypeVersion="13" ma:contentTypeDescription="Create a new document." ma:contentTypeScope="" ma:versionID="b93e3d0fef5f722c0dadd686de69a135">
  <xsd:schema xmlns:xsd="http://www.w3.org/2001/XMLSchema" xmlns:xs="http://www.w3.org/2001/XMLSchema" xmlns:p="http://schemas.microsoft.com/office/2006/metadata/properties" xmlns:ns2="afeba956-41c5-4baa-be1d-9be2b6c2f089" xmlns:ns3="d270b2d1-f4bf-4e4b-981b-3af75faca263" targetNamespace="http://schemas.microsoft.com/office/2006/metadata/properties" ma:root="true" ma:fieldsID="f93496fdb536c82c80bcc4d24bd9fa96" ns2:_="" ns3:_="">
    <xsd:import namespace="afeba956-41c5-4baa-be1d-9be2b6c2f089"/>
    <xsd:import namespace="d270b2d1-f4bf-4e4b-981b-3af75faca263"/>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element ref="ns2:MediaServiceBillingMetadata"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feba956-41c5-4baa-be1d-9be2b6c2f08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b60e4bea-e818-4595-a733-0a06d4f156df"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element name="MediaServiceBillingMetadata" ma:index="19" nillable="true" ma:displayName="MediaServiceBillingMetadata" ma:hidden="true" ma:internalName="MediaServiceBillingMetadata" ma:readOnly="true">
      <xsd:simpleType>
        <xsd:restriction base="dms:Note"/>
      </xsd:simpleType>
    </xsd:element>
    <xsd:element name="MediaServiceLocation" ma:index="20"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d270b2d1-f4bf-4e4b-981b-3af75faca263"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b5c6de18-e65e-4a46-9a70-4e6e545fd719}" ma:internalName="TaxCatchAll" ma:showField="CatchAllData" ma:web="d270b2d1-f4bf-4e4b-981b-3af75faca263">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afeba956-41c5-4baa-be1d-9be2b6c2f089">
      <Terms xmlns="http://schemas.microsoft.com/office/infopath/2007/PartnerControls"/>
    </lcf76f155ced4ddcb4097134ff3c332f>
    <TaxCatchAll xmlns="d270b2d1-f4bf-4e4b-981b-3af75faca263"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2B836D12-BE05-427B-A45D-350BD575575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afeba956-41c5-4baa-be1d-9be2b6c2f089"/>
    <ds:schemaRef ds:uri="d270b2d1-f4bf-4e4b-981b-3af75faca26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3ECEC0D3-5EFA-4756-BC30-44D332AB2CE8}">
  <ds:schemaRefs>
    <ds:schemaRef ds:uri="http://schemas.microsoft.com/office/2006/metadata/properties"/>
    <ds:schemaRef ds:uri="http://schemas.microsoft.com/office/infopath/2007/PartnerControls"/>
    <ds:schemaRef ds:uri="afeba956-41c5-4baa-be1d-9be2b6c2f089"/>
    <ds:schemaRef ds:uri="d270b2d1-f4bf-4e4b-981b-3af75faca263"/>
  </ds:schemaRefs>
</ds:datastoreItem>
</file>

<file path=customXml/itemProps3.xml><?xml version="1.0" encoding="utf-8"?>
<ds:datastoreItem xmlns:ds="http://schemas.openxmlformats.org/officeDocument/2006/customXml" ds:itemID="{52EF45E4-362D-433B-A5D5-B166CF1CA4F4}">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Preface</vt:lpstr>
      <vt:lpstr>Document Control </vt:lpstr>
      <vt:lpstr>Requirements</vt:lpstr>
      <vt:lpstr>Common Data</vt:lpstr>
      <vt:lpstr>Requirements Formulas</vt:lpstr>
      <vt:lpstr>EA-Fortescue_ReqsImport</vt:lpstr>
      <vt:lpstr>TableDetails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Admin</cp:lastModifiedBy>
  <cp:revision/>
  <dcterms:created xsi:type="dcterms:W3CDTF">2021-03-09T08:45:10Z</dcterms:created>
  <dcterms:modified xsi:type="dcterms:W3CDTF">2026-03-19T05:42:42Z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0x010100017AD43BBAD6FD45BB97ADBAABB02307</vt:lpwstr>
  </property>
  <property fmtid="{D5CDD505-2E9C-101B-9397-08002B2CF9AE}" pid="3" name="MSIP_Label_4eec1c99-31d3-4e87-859e-7c7f74847519_Enabled">
    <vt:lpwstr>true</vt:lpwstr>
  </property>
  <property fmtid="{D5CDD505-2E9C-101B-9397-08002B2CF9AE}" pid="4" name="MSIP_Label_4eec1c99-31d3-4e87-859e-7c7f74847519_SetDate">
    <vt:lpwstr>2025-12-16T05:54:56Z</vt:lpwstr>
  </property>
  <property fmtid="{D5CDD505-2E9C-101B-9397-08002B2CF9AE}" pid="5" name="MSIP_Label_4eec1c99-31d3-4e87-859e-7c7f74847519_Method">
    <vt:lpwstr>Privileged</vt:lpwstr>
  </property>
  <property fmtid="{D5CDD505-2E9C-101B-9397-08002B2CF9AE}" pid="6" name="MSIP_Label_4eec1c99-31d3-4e87-859e-7c7f74847519_Name">
    <vt:lpwstr>4eec1c99-31d3-4e87-859e-7c7f74847519</vt:lpwstr>
  </property>
  <property fmtid="{D5CDD505-2E9C-101B-9397-08002B2CF9AE}" pid="7" name="MSIP_Label_4eec1c99-31d3-4e87-859e-7c7f74847519_SiteId">
    <vt:lpwstr>143a7396-a856-47d7-8e31-62990b5bacd0</vt:lpwstr>
  </property>
  <property fmtid="{D5CDD505-2E9C-101B-9397-08002B2CF9AE}" pid="8" name="MSIP_Label_4eec1c99-31d3-4e87-859e-7c7f74847519_ActionId">
    <vt:lpwstr>a81f3534-3be2-454a-85a7-1b405ac6d7ff</vt:lpwstr>
  </property>
  <property fmtid="{D5CDD505-2E9C-101B-9397-08002B2CF9AE}" pid="9" name="MSIP_Label_4eec1c99-31d3-4e87-859e-7c7f74847519_ContentBits">
    <vt:lpwstr>0</vt:lpwstr>
  </property>
  <property fmtid="{D5CDD505-2E9C-101B-9397-08002B2CF9AE}" pid="10" name="MSIP_Label_4eec1c99-31d3-4e87-859e-7c7f74847519_Tag">
    <vt:lpwstr>10, 0, 1, 1</vt:lpwstr>
  </property>
  <property fmtid="{D5CDD505-2E9C-101B-9397-08002B2CF9AE}" pid="11" name="MediaServiceImageTags">
    <vt:lpwstr/>
  </property>
</Properties>
</file>